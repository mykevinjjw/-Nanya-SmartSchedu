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anya\OneDrive - 南亞技術學院\114年\114課程\114-2課程\系統開發與設計\專題\專題資料\J-自動排課系統\"/>
    </mc:Choice>
  </mc:AlternateContent>
  <bookViews>
    <workbookView xWindow="-105" yWindow="-105" windowWidth="19425" windowHeight="10305" firstSheet="4" activeTab="4"/>
  </bookViews>
  <sheets>
    <sheet name="資工系電腦教室需求-進修部" sheetId="1" r:id="rId1"/>
    <sheet name="資工系電腦教室需求-進專進院" sheetId="2" state="hidden" r:id="rId2"/>
    <sheet name="外聘兼任教師名冊" sheetId="3" state="hidden" r:id="rId3"/>
    <sheet name="假日二技資工必選修課程" sheetId="4" state="hidden" r:id="rId4"/>
    <sheet name="資工系" sheetId="5" r:id="rId5"/>
  </sheets>
  <calcPr calcId="15251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dD4ZQtPNpHijO6TADdPr7KMyf3vZqs5+cb/XnLL3kfo="/>
    </ext>
  </extLst>
</workbook>
</file>

<file path=xl/calcChain.xml><?xml version="1.0" encoding="utf-8"?>
<calcChain xmlns="http://schemas.openxmlformats.org/spreadsheetml/2006/main">
  <c r="D113" i="5" l="1"/>
  <c r="C113" i="5"/>
  <c r="D100" i="5"/>
  <c r="C100" i="5"/>
  <c r="D89" i="5"/>
  <c r="C89" i="5"/>
  <c r="D78" i="5"/>
  <c r="C78" i="5"/>
  <c r="D68" i="5"/>
  <c r="C68" i="5"/>
  <c r="D53" i="5"/>
  <c r="C53" i="5"/>
  <c r="D39" i="5"/>
  <c r="C39" i="5"/>
  <c r="D29" i="5"/>
  <c r="C29" i="5"/>
  <c r="D19" i="5"/>
  <c r="C19" i="5"/>
  <c r="M14" i="5"/>
  <c r="L14" i="5"/>
  <c r="K14" i="5"/>
  <c r="N13" i="5"/>
  <c r="O13" i="5" s="1"/>
  <c r="N12" i="5"/>
  <c r="O12" i="5" s="1"/>
  <c r="N11" i="5"/>
  <c r="O11" i="5" s="1"/>
  <c r="N10" i="5"/>
  <c r="O10" i="5" s="1"/>
  <c r="N9" i="5"/>
  <c r="O9" i="5" s="1"/>
  <c r="N8" i="5"/>
  <c r="O8" i="5" s="1"/>
  <c r="N7" i="5"/>
  <c r="O7" i="5" s="1"/>
  <c r="N6" i="5"/>
  <c r="O6" i="5" s="1"/>
  <c r="N5" i="5"/>
  <c r="O5" i="5" s="1"/>
  <c r="N4" i="5"/>
  <c r="O4" i="5" s="1"/>
  <c r="N3" i="5"/>
  <c r="O3" i="5" s="1"/>
  <c r="D24" i="4"/>
  <c r="D25" i="4" s="1"/>
  <c r="D29" i="4" s="1"/>
  <c r="C24" i="4"/>
  <c r="D13" i="4"/>
  <c r="C13" i="4"/>
  <c r="C25" i="4" s="1"/>
  <c r="C29" i="4" s="1"/>
  <c r="O14" i="5" l="1"/>
  <c r="N14" i="5"/>
</calcChain>
</file>

<file path=xl/sharedStrings.xml><?xml version="1.0" encoding="utf-8"?>
<sst xmlns="http://schemas.openxmlformats.org/spreadsheetml/2006/main" count="626" uniqueCount="267">
  <si>
    <t>962 進修部各系全時間電腦教室需求課程統計表</t>
  </si>
  <si>
    <t>科系</t>
  </si>
  <si>
    <t>上課班級</t>
  </si>
  <si>
    <t>課程名稱</t>
  </si>
  <si>
    <t>時數</t>
  </si>
  <si>
    <t>使用軟體</t>
  </si>
  <si>
    <t>授課教師</t>
  </si>
  <si>
    <t>備註</t>
  </si>
  <si>
    <t>說明：</t>
  </si>
  <si>
    <t>1.若有學生為肢障學生，請於備註中說明，將安排於３樓電腦教室</t>
  </si>
  <si>
    <t>2.請填寫各課程需使用的軟體，以利電腦教室分級排課</t>
  </si>
  <si>
    <t>3.請填寫各課程授課教師，以避免發生衝堂</t>
  </si>
  <si>
    <t>謝謝！</t>
  </si>
  <si>
    <t>962 進專進院各系全時間電腦教室需求課程統計表</t>
  </si>
  <si>
    <t>南亞技術學院九十六學年度第一學期外聘兼任教師名冊</t>
  </si>
  <si>
    <t>校外服務學校（專任）</t>
  </si>
  <si>
    <t>本校聘任職稱</t>
  </si>
  <si>
    <t>姓名</t>
  </si>
  <si>
    <t>本校聘任系所</t>
  </si>
  <si>
    <t>本校授課科目</t>
  </si>
  <si>
    <t>每週時數</t>
  </si>
  <si>
    <t>□      日間部</t>
  </si>
  <si>
    <t>□      進修部</t>
  </si>
  <si>
    <t>□      進院</t>
  </si>
  <si>
    <t>□      進專</t>
  </si>
  <si>
    <t>□    進專</t>
  </si>
  <si>
    <t>□  進修部</t>
  </si>
  <si>
    <t>系所：</t>
  </si>
  <si>
    <t>調查人員：</t>
  </si>
  <si>
    <t/>
  </si>
  <si>
    <t>自九十五學年度新生起實施</t>
  </si>
  <si>
    <t>95.06.06九十五學年度第二學期第一次課程委員會通過</t>
  </si>
  <si>
    <t>南亞技術學院附設進修學院二年制   資訊工程系   科目表</t>
  </si>
  <si>
    <t>科       目        類        別</t>
  </si>
  <si>
    <t>科目名稱</t>
  </si>
  <si>
    <t>學分數</t>
  </si>
  <si>
    <t>授              課             時                數</t>
  </si>
  <si>
    <t>第一學年</t>
  </si>
  <si>
    <t>第二學年</t>
  </si>
  <si>
    <t>上</t>
  </si>
  <si>
    <t>下</t>
  </si>
  <si>
    <t>授課</t>
  </si>
  <si>
    <t>實習</t>
  </si>
  <si>
    <t>共        同          科          目</t>
  </si>
  <si>
    <t>應用中文</t>
  </si>
  <si>
    <t>應用英文</t>
  </si>
  <si>
    <t>憲法與立國精神</t>
  </si>
  <si>
    <t>歷史與文化</t>
  </si>
  <si>
    <t>法律與時事</t>
  </si>
  <si>
    <t>知性通識</t>
  </si>
  <si>
    <t>小計</t>
  </si>
  <si>
    <t>4/4</t>
  </si>
  <si>
    <t>2/2</t>
  </si>
  <si>
    <t>學分/時數</t>
  </si>
  <si>
    <t>專        業          必          修        科        目</t>
  </si>
  <si>
    <t>電腦網路</t>
  </si>
  <si>
    <t>物件導向程式設計</t>
  </si>
  <si>
    <t>資料結構</t>
  </si>
  <si>
    <t>演算法</t>
  </si>
  <si>
    <t>作業系統</t>
  </si>
  <si>
    <t>數位邏輯設計</t>
  </si>
  <si>
    <t>微處理機</t>
  </si>
  <si>
    <t>計算機組織</t>
  </si>
  <si>
    <t>線性代數</t>
  </si>
  <si>
    <t>離散數學</t>
  </si>
  <si>
    <t>12/13</t>
  </si>
  <si>
    <t>6/6</t>
  </si>
  <si>
    <t>0/0</t>
  </si>
  <si>
    <t>必修科目合計</t>
  </si>
  <si>
    <t>16/17</t>
  </si>
  <si>
    <t>8/8</t>
  </si>
  <si>
    <t>校修 訂必修 科目</t>
  </si>
  <si>
    <t>專業選修(至少應修)</t>
  </si>
  <si>
    <t>3/3</t>
  </si>
  <si>
    <t>9/9</t>
  </si>
  <si>
    <t>15/15</t>
  </si>
  <si>
    <t>總                        計</t>
  </si>
  <si>
    <t>19/20</t>
  </si>
  <si>
    <t>17/17</t>
  </si>
  <si>
    <t>95.6.6九十五學年度第二學期第一次課程委員會通過</t>
  </si>
  <si>
    <t>科目類別</t>
  </si>
  <si>
    <t>校  定  選  修  課</t>
  </si>
  <si>
    <t>網路管理</t>
  </si>
  <si>
    <t>進階網路應用</t>
  </si>
  <si>
    <t>網路程式設計</t>
  </si>
  <si>
    <t>Cisco初階課程</t>
  </si>
  <si>
    <t>網路規劃實務</t>
  </si>
  <si>
    <t>網路認證課程</t>
  </si>
  <si>
    <t>無線網路</t>
  </si>
  <si>
    <t>IPV6理論與實務</t>
  </si>
  <si>
    <t>個人通訊系統</t>
  </si>
  <si>
    <t>網路作業系統</t>
  </si>
  <si>
    <t>網路安全</t>
  </si>
  <si>
    <t>寬頻網路</t>
  </si>
  <si>
    <t>工程數學</t>
  </si>
  <si>
    <t>數值方法</t>
  </si>
  <si>
    <t>電腦圖學</t>
  </si>
  <si>
    <t>電腦動畫</t>
  </si>
  <si>
    <t>虛擬實境</t>
  </si>
  <si>
    <t>多媒體資訊系統</t>
  </si>
  <si>
    <t>網路多媒體</t>
  </si>
  <si>
    <t>影像處理</t>
  </si>
  <si>
    <t>圖形識別</t>
  </si>
  <si>
    <t>組合語言</t>
  </si>
  <si>
    <t>驅動程式設計</t>
  </si>
  <si>
    <t>嵌入式系統導論</t>
  </si>
  <si>
    <t>96.6.61九十五學年度第二學期第一次課程委員會通過</t>
  </si>
  <si>
    <t>嵌入式系統設計</t>
  </si>
  <si>
    <t>人工智慧</t>
  </si>
  <si>
    <t>編譯程式</t>
  </si>
  <si>
    <t>資料庫系統</t>
  </si>
  <si>
    <t>資料探勘</t>
  </si>
  <si>
    <t>軟體工程</t>
  </si>
  <si>
    <t>編碼理論</t>
  </si>
  <si>
    <t>數位信號處理</t>
  </si>
  <si>
    <t>微算機系統設計</t>
  </si>
  <si>
    <t>電腦硬體組裝維修實務</t>
  </si>
  <si>
    <t>至少應修</t>
  </si>
  <si>
    <t>填表說明</t>
  </si>
  <si>
    <t>1、請老師依意願填入開課教師，並以職級基本鐘點為原則，如已確定支援其他系或通識課程，可斟酌少填。
2、班導師優先選一門該班之課程。
3、如有其他選修課程開課建議或希望開課時段，可私訊給我，再跟主任討論。</t>
  </si>
  <si>
    <t>教師時數分配預劃管制</t>
  </si>
  <si>
    <t>表1：資工系日四技開課時數表</t>
  </si>
  <si>
    <t>教師姓名</t>
  </si>
  <si>
    <t>基本鐘點</t>
  </si>
  <si>
    <t>共同科目支援</t>
  </si>
  <si>
    <t>系專業科目</t>
  </si>
  <si>
    <t>支援外系</t>
  </si>
  <si>
    <t>超鐘點</t>
  </si>
  <si>
    <t>學制年級</t>
  </si>
  <si>
    <t>開課教師</t>
  </si>
  <si>
    <t>備註(開課建議教師)</t>
  </si>
  <si>
    <t>區分</t>
  </si>
  <si>
    <t>林金俊</t>
  </si>
  <si>
    <t>專業科目應排3學時</t>
  </si>
  <si>
    <t>日四技四</t>
  </si>
  <si>
    <t>電腦視覺</t>
  </si>
  <si>
    <t>使用電腦</t>
  </si>
  <si>
    <t>專選</t>
  </si>
  <si>
    <t>藍中賢</t>
  </si>
  <si>
    <t>專業科目應排2學時</t>
  </si>
  <si>
    <t>語音辨識</t>
  </si>
  <si>
    <t>董炳信</t>
  </si>
  <si>
    <t>專業科目應排6學時</t>
  </si>
  <si>
    <t>李明仁</t>
  </si>
  <si>
    <t>專業科目應排7-8學時</t>
  </si>
  <si>
    <t>無線隨意與感測網路設計</t>
  </si>
  <si>
    <t>賴勇良</t>
  </si>
  <si>
    <t>專業科目應排7學時</t>
  </si>
  <si>
    <t>網路遊戲設計</t>
  </si>
  <si>
    <t>簡琨晃</t>
  </si>
  <si>
    <t>蕭文豪</t>
  </si>
  <si>
    <t>專業科目應排8學時</t>
  </si>
  <si>
    <t>網路安全與管理</t>
  </si>
  <si>
    <t>陳鐘源</t>
  </si>
  <si>
    <t>(兼)</t>
  </si>
  <si>
    <t>馬達控制實務</t>
  </si>
  <si>
    <t>林志明</t>
  </si>
  <si>
    <t>資通安全管理系統導入實務</t>
  </si>
  <si>
    <t>鄭大立</t>
    <phoneticPr fontId="51" type="noConversion"/>
  </si>
  <si>
    <t>資通安全管理法規實務</t>
  </si>
  <si>
    <t>資料導向程式設計</t>
  </si>
  <si>
    <t>使用電腦，巨量資料分析師能力鑑定證照課程</t>
  </si>
  <si>
    <t>機器學習資料解析與建模</t>
  </si>
  <si>
    <t>使用電腦，經濟部機器學習工程師認證(初級)課程</t>
  </si>
  <si>
    <t>應開學分數</t>
  </si>
  <si>
    <t>2+16</t>
  </si>
  <si>
    <t>校外實習(一)</t>
  </si>
  <si>
    <t>班導師</t>
  </si>
  <si>
    <t>校外實習(二)</t>
  </si>
  <si>
    <t>校外實習(三)</t>
  </si>
  <si>
    <t>應開 專必：0；專選：9</t>
  </si>
  <si>
    <t>日四技三
系統與網路工程組</t>
  </si>
  <si>
    <t>資通系統專案管理</t>
  </si>
  <si>
    <t>(保留課程)</t>
  </si>
  <si>
    <t>專必</t>
  </si>
  <si>
    <t>實務專題(一)</t>
  </si>
  <si>
    <t>資訊安全管理概論</t>
  </si>
  <si>
    <t>經濟部iPAS資訊安全工程師初級能力鑑定先修課程</t>
  </si>
  <si>
    <t>電腦硬體裝修實務</t>
  </si>
  <si>
    <t>勞動部電腦硬體裝修證照課程/使用電腦</t>
  </si>
  <si>
    <t>互動設計</t>
  </si>
  <si>
    <t>網路安全管理</t>
  </si>
  <si>
    <t>林志明</t>
    <phoneticPr fontId="51" type="noConversion"/>
  </si>
  <si>
    <t>智慧機器人實務</t>
  </si>
  <si>
    <t>李明仁</t>
    <phoneticPr fontId="51" type="noConversion"/>
  </si>
  <si>
    <t>應開 專必：6；專選：9</t>
  </si>
  <si>
    <t>日四技三
智慧科技應用組</t>
  </si>
  <si>
    <t>(同系工組)</t>
  </si>
  <si>
    <t>感測控制與應用</t>
  </si>
  <si>
    <t>無人機空拍應用實務</t>
  </si>
  <si>
    <t>經濟部iPas巨量資料分析師初級鑑定先修課程/使用電腦</t>
  </si>
  <si>
    <t>共開</t>
    <phoneticPr fontId="51" type="noConversion"/>
  </si>
  <si>
    <t>日四技二
系統與網路工程組</t>
  </si>
  <si>
    <t>英文(一)(二)(三)(四)</t>
  </si>
  <si>
    <t>共同</t>
  </si>
  <si>
    <t>人工智慧概論</t>
  </si>
  <si>
    <t>通識課程</t>
  </si>
  <si>
    <t>通識</t>
  </si>
  <si>
    <t>數位邏輯</t>
    <phoneticPr fontId="51" type="noConversion"/>
  </si>
  <si>
    <t>Python程式設計</t>
  </si>
  <si>
    <t>軟體工程導論</t>
  </si>
  <si>
    <t>網際網路服務與安全</t>
  </si>
  <si>
    <t>ITE網路通訊專業人員證照考照課程</t>
  </si>
  <si>
    <t>數位訊號處理</t>
  </si>
  <si>
    <t>電競產業概論</t>
  </si>
  <si>
    <t>網站建置實務</t>
  </si>
  <si>
    <t>Linux作業系統</t>
  </si>
  <si>
    <t>應開 專必：6；專選：6</t>
  </si>
  <si>
    <t>日四技二
智慧科技應用組</t>
  </si>
  <si>
    <t>資料庫系統實務</t>
  </si>
  <si>
    <t>無人機操控實務</t>
  </si>
  <si>
    <t>遙控無人機普通操作證證照課程</t>
  </si>
  <si>
    <t>物聯網基礎架構概論</t>
  </si>
  <si>
    <t>經濟部iPas初級物聯網應用工程師能力鑑定先修課程</t>
  </si>
  <si>
    <t>R程式語言</t>
  </si>
  <si>
    <t>無人機專業基本級證照課程</t>
  </si>
  <si>
    <t>人工智慧與專家系統</t>
  </si>
  <si>
    <t>機器人概論</t>
  </si>
  <si>
    <t>AWS 雲端基礎與服務管理</t>
  </si>
  <si>
    <t>日四技二
智慧科技應用組(國際產專班)</t>
  </si>
  <si>
    <t>華語證照輔導(二)</t>
  </si>
  <si>
    <t>林金俊(3)、蕭文豪(3)</t>
  </si>
  <si>
    <t>雲端應用實務</t>
  </si>
  <si>
    <t>應開 專必：9；專選：3</t>
  </si>
  <si>
    <t>日四技一
系統與網路工程組</t>
  </si>
  <si>
    <t>中文閱讀與寫作(一)(二)</t>
  </si>
  <si>
    <t>體育</t>
  </si>
  <si>
    <t>勞作教育</t>
  </si>
  <si>
    <t>電腦應用(一)(二)</t>
  </si>
  <si>
    <t>計算機概論</t>
  </si>
  <si>
    <t>通訊網路概論</t>
  </si>
  <si>
    <t>賴勇良</t>
    <phoneticPr fontId="51" type="noConversion"/>
  </si>
  <si>
    <t>ITE網路通訊專業人員證照先修課程(1/2)、銜接課程/使用電腦</t>
  </si>
  <si>
    <r>
      <rPr>
        <strike/>
        <sz val="11"/>
        <color rgb="FFFF0000"/>
        <rFont val="DFKai-SB"/>
        <family val="4"/>
        <charset val="136"/>
      </rPr>
      <t>作業系統實務</t>
    </r>
    <r>
      <rPr>
        <sz val="11"/>
        <color rgb="FFFF0000"/>
        <rFont val="DFKai-SB"/>
        <family val="4"/>
        <charset val="136"/>
      </rPr>
      <t>程式語言設計</t>
    </r>
  </si>
  <si>
    <r>
      <rPr>
        <strike/>
        <sz val="11"/>
        <color rgb="FFFF0000"/>
        <rFont val="DFKai-SB"/>
        <family val="4"/>
        <charset val="136"/>
      </rPr>
      <t>微積分</t>
    </r>
    <r>
      <rPr>
        <sz val="11"/>
        <color rgb="FFFF0000"/>
        <rFont val="DFKai-SB"/>
        <family val="4"/>
        <charset val="136"/>
      </rPr>
      <t>資料結構</t>
    </r>
  </si>
  <si>
    <t>應開 專必：12；專選：0</t>
  </si>
  <si>
    <t>日四技一
智慧科技應用組</t>
  </si>
  <si>
    <t>ITE網路通訊專業人員證照先修課程、銜接課程/使用電腦</t>
  </si>
  <si>
    <r>
      <rPr>
        <strike/>
        <sz val="11"/>
        <color rgb="FFFF0000"/>
        <rFont val="DFKai-SB"/>
        <family val="4"/>
        <charset val="136"/>
      </rPr>
      <t>雲端運算</t>
    </r>
    <r>
      <rPr>
        <sz val="11"/>
        <color rgb="FFFF0000"/>
        <rFont val="DFKai-SB"/>
        <family val="4"/>
        <charset val="136"/>
      </rPr>
      <t>資料結構</t>
    </r>
  </si>
  <si>
    <t>(李明仁)</t>
    <phoneticPr fontId="51" type="noConversion"/>
  </si>
  <si>
    <t>日四技一
智慧科技應用組(國際產專班)</t>
  </si>
  <si>
    <t>華語(一)</t>
  </si>
  <si>
    <t>華語聽說練習(一)</t>
  </si>
  <si>
    <t>華語輔導</t>
  </si>
  <si>
    <t>無人機概論</t>
  </si>
  <si>
    <t>林金俊(1)、陳鐘源(2)</t>
  </si>
  <si>
    <t>資料科學概論</t>
  </si>
  <si>
    <t>管理資訊系統</t>
  </si>
  <si>
    <t>程式語言設計</t>
  </si>
  <si>
    <t>應開 專必：12；專選：3</t>
  </si>
  <si>
    <t>支援共同科目與通識課程</t>
  </si>
  <si>
    <t>教務處排課時段</t>
  </si>
  <si>
    <t>日四技共同</t>
  </si>
  <si>
    <t>電腦應用(一)</t>
  </si>
  <si>
    <t>週四1-2</t>
  </si>
  <si>
    <t>週四3-4</t>
  </si>
  <si>
    <t>週一1-2</t>
  </si>
  <si>
    <t>休餐(XX)</t>
  </si>
  <si>
    <t>週一3-4</t>
  </si>
  <si>
    <t>機械+車輛(XX)</t>
  </si>
  <si>
    <t>週二1-2</t>
  </si>
  <si>
    <t>幼保+室設</t>
  </si>
  <si>
    <t>週二3-4</t>
  </si>
  <si>
    <t>系統+智慧二甲</t>
  </si>
  <si>
    <t>系統+智慧一甲</t>
  </si>
  <si>
    <t>日四技產專</t>
  </si>
  <si>
    <t>智慧一乙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</si>
</sst>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54">
    <font>
      <sz val="12"/>
      <color rgb="FF000000"/>
      <name val="Calibri"/>
      <scheme val="minor"/>
    </font>
    <font>
      <sz val="12"/>
      <color theme="1"/>
      <name val="PMingLiu"/>
      <family val="1"/>
      <charset val="136"/>
    </font>
    <font>
      <b/>
      <sz val="14"/>
      <color rgb="FF0000FF"/>
      <name val="PMingLiu"/>
      <family val="1"/>
      <charset val="136"/>
    </font>
    <font>
      <sz val="12"/>
      <color rgb="FFFFFFFF"/>
      <name val="PMingLiu"/>
      <family val="1"/>
      <charset val="136"/>
    </font>
    <font>
      <b/>
      <sz val="12"/>
      <color rgb="FFFF0000"/>
      <name val="PMingLiu"/>
      <family val="1"/>
      <charset val="136"/>
    </font>
    <font>
      <sz val="12"/>
      <color rgb="FF000000"/>
      <name val="PMingLiu"/>
      <family val="1"/>
      <charset val="136"/>
    </font>
    <font>
      <sz val="14"/>
      <color theme="1"/>
      <name val="DFKai-SB"/>
      <family val="4"/>
      <charset val="136"/>
    </font>
    <font>
      <sz val="12"/>
      <name val="Calibri"/>
    </font>
    <font>
      <sz val="11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sz val="10"/>
      <color theme="1"/>
      <name val="PMingLiu"/>
      <family val="1"/>
      <charset val="136"/>
    </font>
    <font>
      <sz val="12"/>
      <color theme="1"/>
      <name val="Times New Roman"/>
    </font>
    <font>
      <sz val="10"/>
      <color theme="1"/>
      <name val="Times New Roman"/>
    </font>
    <font>
      <sz val="10"/>
      <color theme="1"/>
      <name val="DFKai-SB"/>
      <family val="4"/>
      <charset val="136"/>
    </font>
    <font>
      <b/>
      <sz val="10"/>
      <color theme="1"/>
      <name val="PMingLiu"/>
      <family val="1"/>
      <charset val="136"/>
    </font>
    <font>
      <b/>
      <sz val="10"/>
      <color rgb="FFFF0000"/>
      <name val="PMingLiu"/>
      <family val="1"/>
      <charset val="136"/>
    </font>
    <font>
      <sz val="14"/>
      <color rgb="FF993300"/>
      <name val="DFKai-SB"/>
      <family val="4"/>
      <charset val="136"/>
    </font>
    <font>
      <sz val="12"/>
      <color rgb="FF0000FF"/>
      <name val="DFKai-SB"/>
      <family val="4"/>
      <charset val="136"/>
    </font>
    <font>
      <sz val="16"/>
      <color theme="1"/>
      <name val="DFKai-SB"/>
      <family val="4"/>
      <charset val="136"/>
    </font>
    <font>
      <sz val="14"/>
      <color rgb="FF800080"/>
      <name val="DFKai-SB"/>
      <family val="4"/>
      <charset val="136"/>
    </font>
    <font>
      <b/>
      <sz val="11"/>
      <color rgb="FFFF0000"/>
      <name val="DFKai-SB"/>
      <family val="4"/>
      <charset val="136"/>
    </font>
    <font>
      <b/>
      <sz val="14"/>
      <color rgb="FFFF0000"/>
      <name val="DFKai-SB"/>
      <family val="4"/>
      <charset val="136"/>
    </font>
    <font>
      <sz val="14"/>
      <color rgb="FFFF0000"/>
      <name val="DFKai-SB"/>
      <family val="4"/>
      <charset val="136"/>
    </font>
    <font>
      <sz val="14"/>
      <color theme="0"/>
      <name val="DFKai-SB"/>
      <family val="4"/>
      <charset val="136"/>
    </font>
    <font>
      <sz val="11"/>
      <color rgb="FF548DD4"/>
      <name val="DFKai-SB"/>
      <family val="4"/>
      <charset val="136"/>
    </font>
    <font>
      <sz val="10"/>
      <color rgb="FF548DD4"/>
      <name val="DFKai-SB"/>
      <family val="4"/>
      <charset val="136"/>
    </font>
    <font>
      <sz val="12"/>
      <color rgb="FF548DD4"/>
      <name val="DFKai-SB"/>
      <family val="4"/>
      <charset val="136"/>
    </font>
    <font>
      <sz val="12"/>
      <color rgb="FF548DD4"/>
      <name val="PMingLiu"/>
      <family val="1"/>
      <charset val="136"/>
    </font>
    <font>
      <sz val="11"/>
      <color rgb="FF1F4E79"/>
      <name val="DFKai-SB"/>
      <family val="4"/>
      <charset val="136"/>
    </font>
    <font>
      <sz val="10"/>
      <color rgb="FF1F4E79"/>
      <name val="DFKai-SB"/>
      <family val="4"/>
      <charset val="136"/>
    </font>
    <font>
      <sz val="11"/>
      <color rgb="FF8B0000"/>
      <name val="DFKai-SB"/>
      <family val="4"/>
      <charset val="136"/>
    </font>
    <font>
      <sz val="10"/>
      <color rgb="FF8B0000"/>
      <name val="DFKai-SB"/>
      <family val="4"/>
      <charset val="136"/>
    </font>
    <font>
      <sz val="11"/>
      <color rgb="FFFF0000"/>
      <name val="DFKai-SB"/>
      <family val="4"/>
      <charset val="136"/>
    </font>
    <font>
      <sz val="10"/>
      <color rgb="FFFF0000"/>
      <name val="DFKai-SB"/>
      <family val="4"/>
      <charset val="136"/>
    </font>
    <font>
      <strike/>
      <sz val="11"/>
      <color theme="1"/>
      <name val="DFKai-SB"/>
      <family val="4"/>
      <charset val="136"/>
    </font>
    <font>
      <strike/>
      <sz val="12"/>
      <color theme="1"/>
      <name val="DFKai-SB"/>
      <family val="4"/>
      <charset val="136"/>
    </font>
    <font>
      <b/>
      <sz val="11"/>
      <color theme="1"/>
      <name val="DFKai-SB"/>
      <family val="4"/>
      <charset val="136"/>
    </font>
    <font>
      <b/>
      <sz val="12"/>
      <color theme="1"/>
      <name val="DFKai-SB"/>
      <family val="4"/>
      <charset val="136"/>
    </font>
    <font>
      <sz val="11"/>
      <color rgb="FFD8D8D8"/>
      <name val="DFKai-SB"/>
      <family val="4"/>
      <charset val="136"/>
    </font>
    <font>
      <sz val="10"/>
      <color rgb="FFD8D8D8"/>
      <name val="DFKai-SB"/>
      <family val="4"/>
      <charset val="136"/>
    </font>
    <font>
      <b/>
      <sz val="11"/>
      <color rgb="FFD8D8D8"/>
      <name val="DFKai-SB"/>
      <family val="4"/>
      <charset val="136"/>
    </font>
    <font>
      <b/>
      <sz val="12"/>
      <color rgb="FFD8D8D8"/>
      <name val="DFKai-SB"/>
      <family val="4"/>
      <charset val="136"/>
    </font>
    <font>
      <sz val="12"/>
      <color rgb="FFD8D8D8"/>
      <name val="PMingLiu"/>
      <family val="1"/>
      <charset val="136"/>
    </font>
    <font>
      <b/>
      <sz val="11"/>
      <color rgb="FF0070C0"/>
      <name val="DFKai-SB"/>
      <family val="4"/>
      <charset val="136"/>
    </font>
    <font>
      <sz val="12"/>
      <color rgb="FFD8D8D8"/>
      <name val="DFKai-SB"/>
      <family val="4"/>
      <charset val="136"/>
    </font>
    <font>
      <strike/>
      <sz val="11"/>
      <color rgb="FFFF0000"/>
      <name val="DFKai-SB"/>
      <family val="4"/>
      <charset val="136"/>
    </font>
    <font>
      <sz val="11"/>
      <color rgb="FF0070C0"/>
      <name val="DFKai-SB"/>
      <family val="4"/>
      <charset val="136"/>
    </font>
    <font>
      <sz val="12"/>
      <color rgb="FF7F7F7F"/>
      <name val="DFKai-SB"/>
      <family val="4"/>
      <charset val="136"/>
    </font>
    <font>
      <sz val="11"/>
      <color rgb="FF0000FF"/>
      <name val="DFKai-SB"/>
      <family val="4"/>
      <charset val="136"/>
    </font>
    <font>
      <sz val="10"/>
      <color rgb="FF0000FF"/>
      <name val="DFKai-SB"/>
      <family val="4"/>
      <charset val="136"/>
    </font>
    <font>
      <sz val="10"/>
      <color rgb="FF000000"/>
      <name val="PMingLiu"/>
      <family val="1"/>
      <charset val="136"/>
    </font>
    <font>
      <sz val="9"/>
      <name val="Calibri"/>
      <family val="3"/>
      <charset val="136"/>
      <scheme val="minor"/>
    </font>
    <font>
      <b/>
      <sz val="11"/>
      <color rgb="FF7030A0"/>
      <name val="DFKai-SB"/>
      <family val="4"/>
      <charset val="136"/>
    </font>
    <font>
      <b/>
      <sz val="11"/>
      <color rgb="FFC00000"/>
      <name val="DFKai-SB"/>
      <family val="4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B2A1C7"/>
        <bgColor rgb="FFB2A1C7"/>
      </patternFill>
    </fill>
    <fill>
      <patternFill patternType="solid">
        <fgColor rgb="FFFFF2CC"/>
        <bgColor rgb="FFFFF2CC"/>
      </patternFill>
    </fill>
    <fill>
      <patternFill patternType="solid">
        <fgColor rgb="FFF2DBDB"/>
        <bgColor rgb="FFF2DBDB"/>
      </patternFill>
    </fill>
    <fill>
      <patternFill patternType="solid">
        <fgColor theme="7" tint="0.59999389629810485"/>
        <bgColor rgb="FFFDE9D9"/>
      </patternFill>
    </fill>
    <fill>
      <patternFill patternType="solid">
        <fgColor theme="6" tint="0.39997558519241921"/>
        <bgColor rgb="FFFDE9D9"/>
      </patternFill>
    </fill>
    <fill>
      <patternFill patternType="solid">
        <fgColor theme="7" tint="0.59999389629810485"/>
        <bgColor rgb="FFEAF1DD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33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1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4" xfId="0" applyFont="1" applyBorder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4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0" fillId="0" borderId="23" xfId="0" applyFont="1" applyBorder="1"/>
    <xf numFmtId="0" fontId="10" fillId="0" borderId="17" xfId="0" applyFont="1" applyBorder="1" applyAlignment="1">
      <alignment vertical="center"/>
    </xf>
    <xf numFmtId="0" fontId="10" fillId="0" borderId="24" xfId="0" applyFont="1" applyBorder="1"/>
    <xf numFmtId="0" fontId="10" fillId="0" borderId="26" xfId="0" applyFont="1" applyBorder="1"/>
    <xf numFmtId="0" fontId="10" fillId="0" borderId="7" xfId="0" applyFont="1" applyBorder="1" applyAlignment="1">
      <alignment vertical="center"/>
    </xf>
    <xf numFmtId="0" fontId="14" fillId="0" borderId="30" xfId="0" applyFont="1" applyBorder="1" applyAlignment="1">
      <alignment horizontal="center"/>
    </xf>
    <xf numFmtId="0" fontId="10" fillId="0" borderId="32" xfId="0" applyFont="1" applyBorder="1"/>
    <xf numFmtId="0" fontId="14" fillId="0" borderId="0" xfId="0" applyFont="1" applyAlignment="1">
      <alignment horizontal="center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/>
    <xf numFmtId="0" fontId="10" fillId="0" borderId="34" xfId="0" applyFont="1" applyBorder="1" applyAlignment="1">
      <alignment horizontal="center" wrapText="1"/>
    </xf>
    <xf numFmtId="0" fontId="10" fillId="0" borderId="34" xfId="0" applyFont="1" applyBorder="1" applyAlignment="1">
      <alignment horizontal="center"/>
    </xf>
    <xf numFmtId="0" fontId="10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vertical="top" wrapText="1"/>
    </xf>
    <xf numFmtId="0" fontId="10" fillId="0" borderId="37" xfId="0" applyFont="1" applyBorder="1" applyAlignment="1">
      <alignment horizontal="center" wrapText="1"/>
    </xf>
    <xf numFmtId="0" fontId="10" fillId="0" borderId="37" xfId="0" applyFont="1" applyBorder="1" applyAlignment="1">
      <alignment horizontal="center"/>
    </xf>
    <xf numFmtId="0" fontId="10" fillId="0" borderId="37" xfId="0" applyFont="1" applyBorder="1"/>
    <xf numFmtId="0" fontId="1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left"/>
    </xf>
    <xf numFmtId="0" fontId="10" fillId="0" borderId="37" xfId="0" applyFont="1" applyBorder="1" applyAlignment="1">
      <alignment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7" xfId="0" applyFont="1" applyBorder="1" applyAlignment="1">
      <alignment wrapText="1"/>
    </xf>
    <xf numFmtId="0" fontId="15" fillId="0" borderId="37" xfId="0" applyFont="1" applyBorder="1" applyAlignment="1">
      <alignment wrapText="1"/>
    </xf>
    <xf numFmtId="0" fontId="15" fillId="0" borderId="37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0" fillId="0" borderId="36" xfId="0" applyFont="1" applyBorder="1" applyAlignment="1">
      <alignment horizontal="left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5" fillId="0" borderId="37" xfId="0" applyFont="1" applyBorder="1" applyAlignment="1">
      <alignment vertical="center"/>
    </xf>
    <xf numFmtId="0" fontId="15" fillId="0" borderId="37" xfId="0" applyFont="1" applyBorder="1" applyAlignment="1">
      <alignment horizont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/>
    <xf numFmtId="0" fontId="14" fillId="0" borderId="39" xfId="0" applyFont="1" applyBorder="1" applyAlignment="1">
      <alignment horizontal="center"/>
    </xf>
    <xf numFmtId="49" fontId="14" fillId="0" borderId="39" xfId="0" applyNumberFormat="1" applyFont="1" applyBorder="1" applyAlignment="1">
      <alignment horizontal="center"/>
    </xf>
    <xf numFmtId="0" fontId="10" fillId="0" borderId="40" xfId="0" applyFont="1" applyBorder="1"/>
    <xf numFmtId="0" fontId="16" fillId="3" borderId="4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7" fillId="0" borderId="37" xfId="0" applyFont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6" borderId="37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/>
    </xf>
    <xf numFmtId="176" fontId="8" fillId="0" borderId="47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4" borderId="37" xfId="0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vertical="center"/>
    </xf>
    <xf numFmtId="0" fontId="8" fillId="7" borderId="37" xfId="0" applyFont="1" applyFill="1" applyBorder="1" applyAlignment="1">
      <alignment horizontal="center" vertical="center"/>
    </xf>
    <xf numFmtId="0" fontId="13" fillId="7" borderId="50" xfId="0" applyFont="1" applyFill="1" applyBorder="1" applyAlignment="1">
      <alignment horizontal="left" vertical="center" shrinkToFit="1"/>
    </xf>
    <xf numFmtId="0" fontId="8" fillId="0" borderId="52" xfId="0" applyFont="1" applyBorder="1" applyAlignment="1">
      <alignment horizontal="center" vertical="center"/>
    </xf>
    <xf numFmtId="0" fontId="9" fillId="0" borderId="52" xfId="0" applyFont="1" applyBorder="1" applyAlignment="1">
      <alignment vertical="center"/>
    </xf>
    <xf numFmtId="0" fontId="6" fillId="8" borderId="37" xfId="0" applyFont="1" applyFill="1" applyBorder="1" applyAlignment="1">
      <alignment horizontal="center" vertical="center"/>
    </xf>
    <xf numFmtId="0" fontId="9" fillId="8" borderId="37" xfId="0" applyFont="1" applyFill="1" applyBorder="1" applyAlignment="1">
      <alignment vertical="center"/>
    </xf>
    <xf numFmtId="0" fontId="23" fillId="9" borderId="1" xfId="0" applyFont="1" applyFill="1" applyBorder="1" applyAlignment="1">
      <alignment horizontal="center" vertical="center"/>
    </xf>
    <xf numFmtId="0" fontId="24" fillId="7" borderId="37" xfId="0" applyFont="1" applyFill="1" applyBorder="1" applyAlignment="1">
      <alignment horizontal="center" vertical="center"/>
    </xf>
    <xf numFmtId="0" fontId="25" fillId="7" borderId="50" xfId="0" applyFont="1" applyFill="1" applyBorder="1" applyAlignment="1">
      <alignment horizontal="left" vertical="center" shrinkToFit="1"/>
    </xf>
    <xf numFmtId="0" fontId="24" fillId="0" borderId="3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7" borderId="37" xfId="0" applyFont="1" applyFill="1" applyBorder="1" applyAlignment="1">
      <alignment horizontal="center" vertical="center"/>
    </xf>
    <xf numFmtId="0" fontId="29" fillId="7" borderId="50" xfId="0" applyFont="1" applyFill="1" applyBorder="1" applyAlignment="1">
      <alignment horizontal="left" vertical="center" shrinkToFit="1"/>
    </xf>
    <xf numFmtId="0" fontId="28" fillId="0" borderId="3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0" fillId="8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1" fillId="7" borderId="50" xfId="0" applyFont="1" applyFill="1" applyBorder="1" applyAlignment="1">
      <alignment horizontal="left" vertical="center" shrinkToFit="1"/>
    </xf>
    <xf numFmtId="0" fontId="30" fillId="0" borderId="37" xfId="0" applyFont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7" borderId="37" xfId="0" applyFont="1" applyFill="1" applyBorder="1" applyAlignment="1">
      <alignment horizontal="center" vertical="center"/>
    </xf>
    <xf numFmtId="0" fontId="33" fillId="6" borderId="50" xfId="0" applyFont="1" applyFill="1" applyBorder="1" applyAlignment="1">
      <alignment horizontal="left" vertical="center" shrinkToFit="1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8" fillId="6" borderId="37" xfId="0" applyFont="1" applyFill="1" applyBorder="1" applyAlignment="1">
      <alignment horizontal="center" vertical="center"/>
    </xf>
    <xf numFmtId="0" fontId="13" fillId="6" borderId="50" xfId="0" applyFont="1" applyFill="1" applyBorder="1" applyAlignment="1">
      <alignment horizontal="left" vertical="center" shrinkToFit="1"/>
    </xf>
    <xf numFmtId="0" fontId="28" fillId="6" borderId="37" xfId="0" applyFont="1" applyFill="1" applyBorder="1" applyAlignment="1">
      <alignment horizontal="center" vertical="center"/>
    </xf>
    <xf numFmtId="0" fontId="29" fillId="6" borderId="50" xfId="0" applyFont="1" applyFill="1" applyBorder="1" applyAlignment="1">
      <alignment horizontal="left" vertical="center" shrinkToFit="1"/>
    </xf>
    <xf numFmtId="0" fontId="30" fillId="6" borderId="37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left" vertical="center" shrinkToFit="1"/>
    </xf>
    <xf numFmtId="0" fontId="34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vertical="center"/>
    </xf>
    <xf numFmtId="0" fontId="35" fillId="6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38" fillId="7" borderId="37" xfId="0" applyFont="1" applyFill="1" applyBorder="1" applyAlignment="1">
      <alignment horizontal="center" vertical="center"/>
    </xf>
    <xf numFmtId="0" fontId="39" fillId="7" borderId="50" xfId="0" applyFont="1" applyFill="1" applyBorder="1" applyAlignment="1">
      <alignment horizontal="left" vertical="center" shrinkToFit="1"/>
    </xf>
    <xf numFmtId="0" fontId="38" fillId="0" borderId="37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3" fillId="7" borderId="50" xfId="0" applyFont="1" applyFill="1" applyBorder="1" applyAlignment="1">
      <alignment horizontal="left" vertical="center" shrinkToFit="1"/>
    </xf>
    <xf numFmtId="0" fontId="32" fillId="0" borderId="37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34" fillId="7" borderId="3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10" borderId="37" xfId="0" applyFont="1" applyFill="1" applyBorder="1" applyAlignment="1">
      <alignment horizontal="center" vertical="center"/>
    </xf>
    <xf numFmtId="0" fontId="43" fillId="10" borderId="37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/>
    </xf>
    <xf numFmtId="0" fontId="39" fillId="6" borderId="50" xfId="0" applyFont="1" applyFill="1" applyBorder="1" applyAlignment="1">
      <alignment horizontal="left" vertical="center" shrinkToFit="1"/>
    </xf>
    <xf numFmtId="0" fontId="38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vertical="center"/>
    </xf>
    <xf numFmtId="0" fontId="44" fillId="6" borderId="1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6" fillId="0" borderId="0" xfId="0" applyFont="1" applyAlignment="1">
      <alignment vertical="top"/>
    </xf>
    <xf numFmtId="0" fontId="44" fillId="0" borderId="0" xfId="0" applyFont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0" fillId="0" borderId="47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left" vertical="center" wrapText="1"/>
    </xf>
    <xf numFmtId="0" fontId="17" fillId="11" borderId="37" xfId="0" applyFont="1" applyFill="1" applyBorder="1" applyAlignment="1">
      <alignment horizontal="center" vertical="center"/>
    </xf>
    <xf numFmtId="0" fontId="48" fillId="11" borderId="37" xfId="0" applyFont="1" applyFill="1" applyBorder="1" applyAlignment="1">
      <alignment horizontal="left" vertical="center"/>
    </xf>
    <xf numFmtId="0" fontId="48" fillId="11" borderId="37" xfId="0" applyFont="1" applyFill="1" applyBorder="1" applyAlignment="1">
      <alignment horizontal="center" vertical="center"/>
    </xf>
    <xf numFmtId="0" fontId="49" fillId="11" borderId="37" xfId="0" applyFont="1" applyFill="1" applyBorder="1" applyAlignment="1">
      <alignment horizontal="left" vertical="center" wrapText="1"/>
    </xf>
    <xf numFmtId="0" fontId="49" fillId="11" borderId="37" xfId="0" applyFont="1" applyFill="1" applyBorder="1" applyAlignment="1">
      <alignment horizontal="center" vertical="center"/>
    </xf>
    <xf numFmtId="0" fontId="48" fillId="12" borderId="37" xfId="0" applyFont="1" applyFill="1" applyBorder="1" applyAlignment="1">
      <alignment horizontal="center" vertical="center"/>
    </xf>
    <xf numFmtId="0" fontId="48" fillId="12" borderId="37" xfId="0" applyFont="1" applyFill="1" applyBorder="1" applyAlignment="1">
      <alignment horizontal="left" vertical="center"/>
    </xf>
    <xf numFmtId="0" fontId="49" fillId="12" borderId="37" xfId="0" applyFont="1" applyFill="1" applyBorder="1" applyAlignment="1">
      <alignment horizontal="left" vertical="center" wrapText="1"/>
    </xf>
    <xf numFmtId="0" fontId="49" fillId="12" borderId="37" xfId="0" applyFont="1" applyFill="1" applyBorder="1" applyAlignment="1">
      <alignment horizontal="center" vertical="center"/>
    </xf>
    <xf numFmtId="0" fontId="50" fillId="0" borderId="0" xfId="0" applyFont="1" applyAlignment="1">
      <alignment horizontal="left" wrapText="1"/>
    </xf>
    <xf numFmtId="0" fontId="36" fillId="6" borderId="37" xfId="0" applyFont="1" applyFill="1" applyBorder="1" applyAlignment="1">
      <alignment horizontal="center" vertical="center"/>
    </xf>
    <xf numFmtId="0" fontId="36" fillId="7" borderId="37" xfId="0" applyFont="1" applyFill="1" applyBorder="1" applyAlignment="1">
      <alignment horizontal="center" vertical="center"/>
    </xf>
    <xf numFmtId="0" fontId="53" fillId="14" borderId="37" xfId="0" applyFont="1" applyFill="1" applyBorder="1" applyAlignment="1">
      <alignment horizontal="center" vertical="center"/>
    </xf>
    <xf numFmtId="0" fontId="52" fillId="14" borderId="37" xfId="0" applyFont="1" applyFill="1" applyBorder="1" applyAlignment="1">
      <alignment horizontal="center" vertical="center"/>
    </xf>
    <xf numFmtId="0" fontId="8" fillId="14" borderId="37" xfId="0" applyFont="1" applyFill="1" applyBorder="1" applyAlignment="1">
      <alignment horizontal="center" vertical="center"/>
    </xf>
    <xf numFmtId="0" fontId="32" fillId="13" borderId="37" xfId="0" applyFont="1" applyFill="1" applyBorder="1" applyAlignment="1">
      <alignment horizontal="center" vertical="center"/>
    </xf>
    <xf numFmtId="0" fontId="8" fillId="13" borderId="37" xfId="0" applyFont="1" applyFill="1" applyBorder="1" applyAlignment="1">
      <alignment horizontal="center" vertical="center"/>
    </xf>
    <xf numFmtId="0" fontId="43" fillId="15" borderId="37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right"/>
    </xf>
    <xf numFmtId="0" fontId="10" fillId="0" borderId="41" xfId="0" applyFont="1" applyBorder="1" applyAlignment="1">
      <alignment horizontal="left"/>
    </xf>
    <xf numFmtId="0" fontId="10" fillId="0" borderId="41" xfId="0" applyFont="1" applyBorder="1" applyAlignment="1">
      <alignment horizontal="center"/>
    </xf>
    <xf numFmtId="0" fontId="10" fillId="0" borderId="51" xfId="0" applyFont="1" applyBorder="1" applyAlignment="1">
      <alignment vertical="center"/>
    </xf>
    <xf numFmtId="0" fontId="10" fillId="0" borderId="51" xfId="0" applyFont="1" applyBorder="1" applyAlignment="1">
      <alignment horizontal="center"/>
    </xf>
    <xf numFmtId="0" fontId="10" fillId="0" borderId="50" xfId="0" applyFont="1" applyBorder="1" applyAlignment="1">
      <alignment horizontal="left"/>
    </xf>
    <xf numFmtId="49" fontId="2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12" fillId="0" borderId="6" xfId="0" applyFont="1" applyBorder="1" applyAlignment="1">
      <alignment vertical="top" wrapText="1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0" borderId="6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vertical="top"/>
    </xf>
    <xf numFmtId="0" fontId="9" fillId="0" borderId="6" xfId="0" applyFont="1" applyBorder="1" applyAlignment="1">
      <alignment vertical="top" wrapText="1"/>
    </xf>
    <xf numFmtId="0" fontId="9" fillId="0" borderId="6" xfId="0" applyFont="1" applyBorder="1" applyAlignment="1">
      <alignment horizontal="center" vertical="top" wrapText="1"/>
    </xf>
    <xf numFmtId="49" fontId="10" fillId="0" borderId="50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10" fillId="0" borderId="35" xfId="0" applyFont="1" applyBorder="1" applyAlignment="1">
      <alignment horizontal="center"/>
    </xf>
    <xf numFmtId="0" fontId="7" fillId="0" borderId="21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10" fillId="0" borderId="18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49" fontId="14" fillId="0" borderId="50" xfId="0" applyNumberFormat="1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14" fillId="0" borderId="31" xfId="0" applyFont="1" applyBorder="1" applyAlignment="1">
      <alignment horizontal="center"/>
    </xf>
    <xf numFmtId="0" fontId="7" fillId="0" borderId="29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41" xfId="0" applyFont="1" applyBorder="1" applyAlignment="1">
      <alignment horizontal="left"/>
    </xf>
    <xf numFmtId="0" fontId="7" fillId="0" borderId="41" xfId="0" applyFont="1" applyBorder="1" applyAlignment="1">
      <alignment vertical="center"/>
    </xf>
    <xf numFmtId="0" fontId="10" fillId="0" borderId="14" xfId="0" applyFont="1" applyBorder="1" applyAlignment="1">
      <alignment horizontal="center" wrapText="1"/>
    </xf>
    <xf numFmtId="0" fontId="7" fillId="0" borderId="19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10" fillId="0" borderId="15" xfId="0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8" fillId="7" borderId="49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8" fillId="6" borderId="4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8" fillId="4" borderId="50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7" fillId="0" borderId="44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opLeftCell="A19" workbookViewId="0"/>
  </sheetViews>
  <sheetFormatPr defaultColWidth="11.125" defaultRowHeight="15" customHeight="1"/>
  <cols>
    <col min="1" max="1" width="5.625" customWidth="1"/>
    <col min="2" max="2" width="10.375" customWidth="1"/>
    <col min="3" max="3" width="13.125" customWidth="1"/>
    <col min="4" max="4" width="3.125" customWidth="1"/>
    <col min="5" max="5" width="14.875" customWidth="1"/>
    <col min="6" max="6" width="6.375" customWidth="1"/>
    <col min="7" max="7" width="14.875" customWidth="1"/>
    <col min="8" max="11" width="5.375" customWidth="1"/>
    <col min="12" max="26" width="9.875" customWidth="1"/>
  </cols>
  <sheetData>
    <row r="1" spans="1:11" ht="16.5" customHeight="1">
      <c r="A1" s="1"/>
      <c r="B1" s="2"/>
      <c r="C1" s="2"/>
      <c r="D1" s="1"/>
      <c r="E1" s="3"/>
      <c r="F1" s="1"/>
      <c r="G1" s="2"/>
      <c r="H1" s="2"/>
      <c r="I1" s="2"/>
      <c r="J1" s="2"/>
      <c r="K1" s="2"/>
    </row>
    <row r="2" spans="1:11" ht="19.5" customHeight="1">
      <c r="A2" s="183" t="s">
        <v>0</v>
      </c>
      <c r="B2" s="184"/>
      <c r="C2" s="184"/>
      <c r="D2" s="184"/>
      <c r="E2" s="184"/>
      <c r="F2" s="184"/>
      <c r="G2" s="184"/>
      <c r="H2" s="2"/>
      <c r="I2" s="2"/>
      <c r="J2" s="2"/>
      <c r="K2" s="2"/>
    </row>
    <row r="3" spans="1:11" ht="16.5" customHeight="1">
      <c r="A3" s="4"/>
      <c r="B3" s="4"/>
      <c r="C3" s="4"/>
      <c r="D3" s="4"/>
      <c r="E3" s="3"/>
      <c r="F3" s="1"/>
      <c r="G3" s="2"/>
      <c r="H3" s="2"/>
      <c r="I3" s="2"/>
      <c r="J3" s="2"/>
      <c r="K3" s="2"/>
    </row>
    <row r="4" spans="1:11" ht="16.5" customHeight="1">
      <c r="A4" s="5" t="s">
        <v>1</v>
      </c>
      <c r="B4" s="6" t="s">
        <v>2</v>
      </c>
      <c r="C4" s="5" t="s">
        <v>3</v>
      </c>
      <c r="D4" s="5" t="s">
        <v>4</v>
      </c>
      <c r="E4" s="7" t="s">
        <v>5</v>
      </c>
      <c r="F4" s="5" t="s">
        <v>6</v>
      </c>
      <c r="G4" s="5" t="s">
        <v>7</v>
      </c>
      <c r="H4" s="2"/>
      <c r="I4" s="2"/>
      <c r="J4" s="2"/>
      <c r="K4" s="2"/>
    </row>
    <row r="5" spans="1:11" ht="16.5" customHeight="1">
      <c r="A5" s="1"/>
      <c r="B5" s="2"/>
      <c r="C5" s="2"/>
      <c r="D5" s="1"/>
      <c r="E5" s="3"/>
      <c r="F5" s="1"/>
      <c r="G5" s="2"/>
      <c r="H5" s="2"/>
      <c r="I5" s="2"/>
      <c r="J5" s="2"/>
      <c r="K5" s="2"/>
    </row>
    <row r="6" spans="1:11" ht="16.5" customHeight="1">
      <c r="A6" s="1"/>
      <c r="B6" s="2"/>
      <c r="C6" s="2"/>
      <c r="D6" s="1"/>
      <c r="E6" s="3"/>
      <c r="F6" s="1"/>
      <c r="G6" s="2"/>
      <c r="H6" s="2"/>
      <c r="I6" s="2"/>
      <c r="J6" s="2"/>
      <c r="K6" s="2"/>
    </row>
    <row r="7" spans="1:11" ht="16.5" customHeight="1">
      <c r="A7" s="1"/>
      <c r="B7" s="2"/>
      <c r="C7" s="2"/>
      <c r="D7" s="1"/>
      <c r="E7" s="3"/>
      <c r="F7" s="1"/>
      <c r="G7" s="2"/>
      <c r="H7" s="2"/>
      <c r="I7" s="2"/>
      <c r="J7" s="2"/>
      <c r="K7" s="2"/>
    </row>
    <row r="8" spans="1:11" ht="16.5" customHeight="1">
      <c r="A8" s="1"/>
      <c r="B8" s="2"/>
      <c r="C8" s="2"/>
      <c r="D8" s="1"/>
      <c r="E8" s="3"/>
      <c r="F8" s="1"/>
      <c r="G8" s="2"/>
      <c r="H8" s="2"/>
      <c r="I8" s="2"/>
      <c r="J8" s="2"/>
      <c r="K8" s="2"/>
    </row>
    <row r="9" spans="1:11" ht="16.5" customHeight="1">
      <c r="A9" s="1"/>
      <c r="B9" s="2"/>
      <c r="C9" s="2"/>
      <c r="D9" s="1"/>
      <c r="E9" s="3"/>
      <c r="F9" s="1"/>
      <c r="G9" s="2"/>
      <c r="H9" s="2"/>
      <c r="I9" s="2"/>
      <c r="J9" s="2"/>
      <c r="K9" s="2"/>
    </row>
    <row r="10" spans="1:11" ht="16.5" customHeight="1">
      <c r="A10" s="1"/>
      <c r="B10" s="2"/>
      <c r="C10" s="2"/>
      <c r="D10" s="1"/>
      <c r="E10" s="3"/>
      <c r="F10" s="1"/>
      <c r="G10" s="2"/>
      <c r="H10" s="2"/>
      <c r="I10" s="2"/>
      <c r="J10" s="2"/>
      <c r="K10" s="2"/>
    </row>
    <row r="11" spans="1:11" ht="16.5" customHeight="1">
      <c r="A11" s="1"/>
      <c r="B11" s="2"/>
      <c r="C11" s="2"/>
      <c r="D11" s="1"/>
      <c r="E11" s="3"/>
      <c r="F11" s="1"/>
      <c r="G11" s="2"/>
      <c r="H11" s="2"/>
      <c r="I11" s="2"/>
      <c r="J11" s="2"/>
      <c r="K11" s="2"/>
    </row>
    <row r="12" spans="1:11" ht="16.5" customHeight="1">
      <c r="A12" s="1"/>
      <c r="B12" s="2"/>
      <c r="C12" s="2"/>
      <c r="D12" s="1"/>
      <c r="E12" s="3"/>
      <c r="F12" s="1"/>
      <c r="G12" s="2"/>
      <c r="H12" s="2"/>
      <c r="I12" s="2"/>
      <c r="J12" s="2"/>
      <c r="K12" s="2"/>
    </row>
    <row r="13" spans="1:11" ht="16.5" customHeight="1">
      <c r="A13" s="1"/>
      <c r="B13" s="2"/>
      <c r="C13" s="2"/>
      <c r="D13" s="1"/>
      <c r="E13" s="3"/>
      <c r="F13" s="1"/>
      <c r="G13" s="2"/>
      <c r="H13" s="2"/>
      <c r="I13" s="2"/>
      <c r="J13" s="2"/>
      <c r="K13" s="2"/>
    </row>
    <row r="14" spans="1:11" ht="16.5" customHeight="1">
      <c r="A14" s="1"/>
      <c r="B14" s="2"/>
      <c r="C14" s="2"/>
      <c r="D14" s="1"/>
      <c r="E14" s="3"/>
      <c r="F14" s="1"/>
      <c r="G14" s="2"/>
      <c r="H14" s="2"/>
      <c r="I14" s="2"/>
      <c r="J14" s="2"/>
      <c r="K14" s="2"/>
    </row>
    <row r="15" spans="1:11" ht="16.5" customHeight="1">
      <c r="A15" s="1"/>
      <c r="B15" s="2"/>
      <c r="C15" s="2"/>
      <c r="D15" s="1"/>
      <c r="E15" s="3"/>
      <c r="F15" s="1"/>
      <c r="G15" s="2"/>
      <c r="H15" s="2"/>
      <c r="I15" s="2"/>
      <c r="J15" s="2"/>
      <c r="K15" s="2"/>
    </row>
    <row r="16" spans="1:11" ht="16.5" customHeight="1">
      <c r="A16" s="1"/>
      <c r="B16" s="2"/>
      <c r="C16" s="2"/>
      <c r="D16" s="1"/>
      <c r="E16" s="3"/>
      <c r="F16" s="1"/>
      <c r="G16" s="2"/>
      <c r="H16" s="2"/>
      <c r="I16" s="2"/>
      <c r="J16" s="2"/>
      <c r="K16" s="2"/>
    </row>
    <row r="17" spans="1:11" ht="16.5" customHeight="1">
      <c r="A17" s="1"/>
      <c r="B17" s="2"/>
      <c r="C17" s="2"/>
      <c r="D17" s="1"/>
      <c r="E17" s="3"/>
      <c r="F17" s="1"/>
      <c r="G17" s="2"/>
      <c r="H17" s="2"/>
      <c r="I17" s="2"/>
      <c r="J17" s="2"/>
      <c r="K17" s="2"/>
    </row>
    <row r="18" spans="1:11" ht="16.5" customHeight="1">
      <c r="A18" s="1"/>
      <c r="B18" s="2"/>
      <c r="C18" s="2"/>
      <c r="D18" s="1"/>
      <c r="E18" s="3"/>
      <c r="F18" s="1"/>
      <c r="G18" s="2"/>
      <c r="H18" s="2"/>
      <c r="I18" s="2"/>
      <c r="J18" s="2"/>
      <c r="K18" s="2"/>
    </row>
    <row r="19" spans="1:11" ht="16.5" customHeight="1">
      <c r="A19" s="1"/>
      <c r="B19" s="2"/>
      <c r="C19" s="2"/>
      <c r="D19" s="1"/>
      <c r="E19" s="3"/>
      <c r="F19" s="1"/>
      <c r="G19" s="2"/>
      <c r="H19" s="2"/>
      <c r="I19" s="2"/>
      <c r="J19" s="2"/>
      <c r="K19" s="2"/>
    </row>
    <row r="20" spans="1:11" ht="16.5" customHeight="1">
      <c r="A20" s="1"/>
      <c r="B20" s="2"/>
      <c r="C20" s="2"/>
      <c r="D20" s="1"/>
      <c r="E20" s="3"/>
      <c r="F20" s="1"/>
      <c r="G20" s="2"/>
      <c r="H20" s="2"/>
      <c r="I20" s="2"/>
      <c r="J20" s="2"/>
      <c r="K20" s="2"/>
    </row>
    <row r="21" spans="1:11" ht="15.75" customHeight="1">
      <c r="A21" s="8" t="s">
        <v>8</v>
      </c>
      <c r="B21" s="2"/>
      <c r="C21" s="2"/>
      <c r="D21" s="1"/>
      <c r="E21" s="3"/>
      <c r="F21" s="1"/>
      <c r="G21" s="2"/>
      <c r="H21" s="2"/>
      <c r="I21" s="2"/>
      <c r="J21" s="2"/>
      <c r="K21" s="2"/>
    </row>
    <row r="22" spans="1:11" ht="15.75" customHeight="1">
      <c r="A22" s="8" t="s">
        <v>9</v>
      </c>
      <c r="B22" s="2"/>
      <c r="C22" s="2"/>
      <c r="D22" s="1"/>
      <c r="E22" s="3"/>
      <c r="F22" s="1"/>
      <c r="G22" s="2"/>
      <c r="H22" s="2"/>
      <c r="I22" s="2"/>
      <c r="J22" s="2"/>
      <c r="K22" s="2"/>
    </row>
    <row r="23" spans="1:11" ht="15.75" customHeight="1">
      <c r="A23" s="8" t="s">
        <v>10</v>
      </c>
      <c r="B23" s="2"/>
      <c r="C23" s="2"/>
      <c r="D23" s="1"/>
      <c r="E23" s="3"/>
      <c r="F23" s="1"/>
      <c r="G23" s="2"/>
      <c r="H23" s="2"/>
      <c r="I23" s="2"/>
      <c r="J23" s="2"/>
      <c r="K23" s="2"/>
    </row>
    <row r="24" spans="1:11" ht="15.75" customHeight="1">
      <c r="A24" s="8" t="s">
        <v>11</v>
      </c>
      <c r="B24" s="2"/>
      <c r="C24" s="2"/>
      <c r="D24" s="3"/>
      <c r="E24" s="1"/>
      <c r="F24" s="2"/>
      <c r="G24" s="2"/>
      <c r="H24" s="2"/>
      <c r="I24" s="2"/>
      <c r="J24" s="2"/>
      <c r="K24" s="2"/>
    </row>
    <row r="25" spans="1:11" ht="15.75" customHeight="1">
      <c r="A25" s="9" t="s">
        <v>12</v>
      </c>
      <c r="B25" s="2"/>
      <c r="C25" s="2"/>
      <c r="D25" s="1"/>
      <c r="E25" s="3"/>
      <c r="F25" s="1"/>
      <c r="G25" s="2"/>
      <c r="H25" s="2"/>
      <c r="I25" s="2"/>
      <c r="J25" s="2"/>
      <c r="K25" s="2"/>
    </row>
    <row r="26" spans="1:11" ht="15.75" customHeight="1">
      <c r="A26" s="1"/>
      <c r="B26" s="2"/>
      <c r="C26" s="2"/>
      <c r="D26" s="1"/>
      <c r="E26" s="3"/>
      <c r="F26" s="1"/>
      <c r="G26" s="2"/>
      <c r="H26" s="2"/>
      <c r="I26" s="2"/>
      <c r="J26" s="2"/>
      <c r="K26" s="2"/>
    </row>
    <row r="27" spans="1:11" ht="15.75" customHeight="1">
      <c r="A27" s="1"/>
      <c r="B27" s="2"/>
      <c r="C27" s="2"/>
      <c r="D27" s="1"/>
      <c r="E27" s="3"/>
      <c r="F27" s="1"/>
      <c r="G27" s="2"/>
      <c r="H27" s="2"/>
      <c r="I27" s="2"/>
      <c r="J27" s="2"/>
      <c r="K27" s="2"/>
    </row>
    <row r="28" spans="1:11" ht="15.75" customHeight="1">
      <c r="A28" s="1"/>
      <c r="B28" s="2"/>
      <c r="C28" s="2"/>
      <c r="D28" s="1"/>
      <c r="E28" s="3"/>
      <c r="F28" s="1"/>
      <c r="G28" s="2"/>
      <c r="H28" s="2"/>
      <c r="I28" s="2"/>
      <c r="J28" s="2"/>
      <c r="K28" s="2"/>
    </row>
    <row r="29" spans="1:11" ht="15.75" customHeight="1">
      <c r="A29" s="1"/>
      <c r="B29" s="2"/>
      <c r="C29" s="2"/>
      <c r="D29" s="1"/>
      <c r="E29" s="3"/>
      <c r="F29" s="1"/>
      <c r="G29" s="2"/>
      <c r="H29" s="2"/>
      <c r="I29" s="2"/>
      <c r="J29" s="2"/>
      <c r="K29" s="2"/>
    </row>
    <row r="30" spans="1:11" ht="15.75" customHeight="1">
      <c r="A30" s="1"/>
      <c r="B30" s="2"/>
      <c r="C30" s="2"/>
      <c r="D30" s="1"/>
      <c r="E30" s="3"/>
      <c r="F30" s="1"/>
      <c r="G30" s="2"/>
      <c r="H30" s="2"/>
      <c r="I30" s="2"/>
      <c r="J30" s="2"/>
      <c r="K30" s="2"/>
    </row>
    <row r="31" spans="1:11" ht="15.75" customHeight="1">
      <c r="A31" s="1"/>
      <c r="B31" s="2"/>
      <c r="C31" s="2"/>
      <c r="D31" s="1"/>
      <c r="E31" s="3"/>
      <c r="F31" s="1"/>
      <c r="G31" s="2"/>
      <c r="H31" s="2"/>
      <c r="I31" s="2"/>
      <c r="J31" s="2"/>
      <c r="K31" s="2"/>
    </row>
    <row r="32" spans="1:11" ht="15.75" customHeight="1">
      <c r="A32" s="1"/>
      <c r="B32" s="2"/>
      <c r="C32" s="2"/>
      <c r="D32" s="1"/>
      <c r="E32" s="3"/>
      <c r="F32" s="1"/>
      <c r="G32" s="2"/>
      <c r="H32" s="2"/>
      <c r="I32" s="2"/>
      <c r="J32" s="2"/>
      <c r="K32" s="2"/>
    </row>
    <row r="33" spans="1:11" ht="15.75" customHeight="1">
      <c r="A33" s="1"/>
      <c r="B33" s="2"/>
      <c r="C33" s="2"/>
      <c r="D33" s="1"/>
      <c r="E33" s="3"/>
      <c r="F33" s="1"/>
      <c r="G33" s="2"/>
      <c r="H33" s="2"/>
      <c r="I33" s="2"/>
      <c r="J33" s="2"/>
      <c r="K33" s="2"/>
    </row>
    <row r="34" spans="1:11" ht="15.75" customHeight="1">
      <c r="A34" s="1"/>
      <c r="B34" s="2"/>
      <c r="C34" s="2"/>
      <c r="D34" s="1"/>
      <c r="E34" s="3"/>
      <c r="F34" s="1"/>
      <c r="G34" s="2"/>
      <c r="H34" s="2"/>
      <c r="I34" s="2"/>
      <c r="J34" s="2"/>
      <c r="K34" s="2"/>
    </row>
    <row r="35" spans="1:11" ht="15.75" customHeight="1">
      <c r="A35" s="1"/>
      <c r="B35" s="2"/>
      <c r="C35" s="2"/>
      <c r="D35" s="1"/>
      <c r="E35" s="3"/>
      <c r="F35" s="1"/>
      <c r="G35" s="2"/>
      <c r="H35" s="2"/>
      <c r="I35" s="2"/>
      <c r="J35" s="2"/>
      <c r="K35" s="2"/>
    </row>
    <row r="36" spans="1:11" ht="15.75" customHeight="1">
      <c r="A36" s="1"/>
      <c r="B36" s="2"/>
      <c r="C36" s="2"/>
      <c r="D36" s="1"/>
      <c r="E36" s="3"/>
      <c r="F36" s="1"/>
      <c r="G36" s="2"/>
      <c r="H36" s="2"/>
      <c r="I36" s="2"/>
      <c r="J36" s="2"/>
      <c r="K36" s="2"/>
    </row>
    <row r="37" spans="1:11" ht="15.75" customHeight="1">
      <c r="A37" s="1"/>
      <c r="B37" s="2"/>
      <c r="C37" s="2"/>
      <c r="D37" s="1"/>
      <c r="E37" s="3"/>
      <c r="F37" s="1"/>
      <c r="G37" s="2"/>
      <c r="H37" s="2"/>
      <c r="I37" s="2"/>
      <c r="J37" s="2"/>
      <c r="K37" s="2"/>
    </row>
    <row r="38" spans="1:11" ht="15.75" customHeight="1">
      <c r="A38" s="1"/>
      <c r="B38" s="2"/>
      <c r="C38" s="2"/>
      <c r="D38" s="1"/>
      <c r="E38" s="3"/>
      <c r="F38" s="1"/>
      <c r="G38" s="2"/>
      <c r="H38" s="2"/>
      <c r="I38" s="2"/>
      <c r="J38" s="2"/>
      <c r="K38" s="2"/>
    </row>
    <row r="39" spans="1:11" ht="15.75" customHeight="1">
      <c r="A39" s="1"/>
      <c r="B39" s="2"/>
      <c r="C39" s="2"/>
      <c r="D39" s="1"/>
      <c r="E39" s="3"/>
      <c r="F39" s="1"/>
      <c r="G39" s="2"/>
      <c r="H39" s="2"/>
      <c r="I39" s="2"/>
      <c r="J39" s="2"/>
      <c r="K39" s="2"/>
    </row>
    <row r="40" spans="1:11" ht="15.75" customHeight="1">
      <c r="A40" s="1"/>
      <c r="B40" s="2"/>
      <c r="C40" s="2"/>
      <c r="D40" s="1"/>
      <c r="E40" s="3"/>
      <c r="F40" s="1"/>
      <c r="G40" s="2"/>
      <c r="H40" s="2"/>
      <c r="I40" s="2"/>
      <c r="J40" s="2"/>
      <c r="K40" s="2"/>
    </row>
    <row r="41" spans="1:11" ht="15.75" customHeight="1">
      <c r="A41" s="1"/>
      <c r="B41" s="2"/>
      <c r="C41" s="2"/>
      <c r="D41" s="1"/>
      <c r="E41" s="3"/>
      <c r="F41" s="1"/>
      <c r="G41" s="2"/>
      <c r="H41" s="2"/>
      <c r="I41" s="2"/>
      <c r="J41" s="2"/>
      <c r="K41" s="2"/>
    </row>
    <row r="42" spans="1:11" ht="15.75" customHeight="1">
      <c r="A42" s="1"/>
      <c r="B42" s="2"/>
      <c r="C42" s="2"/>
      <c r="D42" s="1"/>
      <c r="E42" s="3"/>
      <c r="F42" s="1"/>
      <c r="G42" s="2"/>
      <c r="H42" s="2"/>
      <c r="I42" s="2"/>
      <c r="J42" s="2"/>
      <c r="K42" s="2"/>
    </row>
    <row r="43" spans="1:11" ht="15.75" customHeight="1">
      <c r="A43" s="1"/>
      <c r="B43" s="2"/>
      <c r="C43" s="2"/>
      <c r="D43" s="1"/>
      <c r="E43" s="3"/>
      <c r="F43" s="1"/>
      <c r="G43" s="2"/>
      <c r="H43" s="2"/>
      <c r="I43" s="2"/>
      <c r="J43" s="2"/>
      <c r="K43" s="2"/>
    </row>
    <row r="44" spans="1:11" ht="15.75" customHeight="1">
      <c r="A44" s="1"/>
      <c r="B44" s="2"/>
      <c r="C44" s="2"/>
      <c r="D44" s="1"/>
      <c r="E44" s="3"/>
      <c r="F44" s="1"/>
      <c r="G44" s="2"/>
      <c r="H44" s="2"/>
      <c r="I44" s="2"/>
      <c r="J44" s="2"/>
      <c r="K44" s="2"/>
    </row>
    <row r="45" spans="1:11" ht="15.75" customHeight="1">
      <c r="A45" s="1"/>
      <c r="B45" s="2"/>
      <c r="C45" s="2"/>
      <c r="D45" s="1"/>
      <c r="E45" s="3"/>
      <c r="F45" s="1"/>
      <c r="G45" s="2"/>
      <c r="H45" s="2"/>
      <c r="I45" s="2"/>
      <c r="J45" s="2"/>
      <c r="K45" s="2"/>
    </row>
    <row r="46" spans="1:11" ht="15.75" customHeight="1">
      <c r="A46" s="1"/>
      <c r="B46" s="2"/>
      <c r="C46" s="2"/>
      <c r="D46" s="1"/>
      <c r="E46" s="3"/>
      <c r="F46" s="1"/>
      <c r="G46" s="2"/>
      <c r="H46" s="2"/>
      <c r="I46" s="2"/>
      <c r="J46" s="2"/>
      <c r="K46" s="2"/>
    </row>
    <row r="47" spans="1:11" ht="15.75" customHeight="1">
      <c r="A47" s="1"/>
      <c r="B47" s="2"/>
      <c r="C47" s="2"/>
      <c r="D47" s="1"/>
      <c r="E47" s="3"/>
      <c r="F47" s="1"/>
      <c r="G47" s="2"/>
      <c r="H47" s="2"/>
      <c r="I47" s="2"/>
      <c r="J47" s="2"/>
      <c r="K47" s="2"/>
    </row>
    <row r="48" spans="1:11" ht="15.75" customHeight="1">
      <c r="A48" s="1"/>
      <c r="B48" s="2"/>
      <c r="C48" s="2"/>
      <c r="D48" s="1"/>
      <c r="E48" s="3"/>
      <c r="F48" s="1"/>
      <c r="G48" s="2"/>
      <c r="H48" s="2"/>
      <c r="I48" s="2"/>
      <c r="J48" s="2"/>
      <c r="K48" s="2"/>
    </row>
    <row r="49" spans="1:11" ht="15.75" customHeight="1">
      <c r="A49" s="1"/>
      <c r="B49" s="2"/>
      <c r="C49" s="2"/>
      <c r="D49" s="1"/>
      <c r="E49" s="3"/>
      <c r="F49" s="1"/>
      <c r="G49" s="2"/>
      <c r="H49" s="2"/>
      <c r="I49" s="2"/>
      <c r="J49" s="2"/>
      <c r="K49" s="2"/>
    </row>
    <row r="50" spans="1:11" ht="15.75" customHeight="1">
      <c r="A50" s="1"/>
      <c r="B50" s="2"/>
      <c r="C50" s="2"/>
      <c r="D50" s="1"/>
      <c r="E50" s="3"/>
      <c r="F50" s="1"/>
      <c r="G50" s="2"/>
      <c r="H50" s="2"/>
      <c r="I50" s="2"/>
      <c r="J50" s="2"/>
      <c r="K50" s="2"/>
    </row>
    <row r="51" spans="1:11" ht="15.75" customHeight="1">
      <c r="A51" s="1"/>
      <c r="B51" s="2"/>
      <c r="C51" s="2"/>
      <c r="D51" s="1"/>
      <c r="E51" s="3"/>
      <c r="F51" s="1"/>
      <c r="G51" s="2"/>
      <c r="H51" s="2"/>
      <c r="I51" s="2"/>
      <c r="J51" s="2"/>
      <c r="K51" s="2"/>
    </row>
    <row r="52" spans="1:11" ht="15.75" customHeight="1">
      <c r="A52" s="1"/>
      <c r="B52" s="2"/>
      <c r="C52" s="2"/>
      <c r="D52" s="1"/>
      <c r="E52" s="3"/>
      <c r="F52" s="1"/>
      <c r="G52" s="2"/>
      <c r="H52" s="2"/>
      <c r="I52" s="2"/>
      <c r="J52" s="2"/>
      <c r="K52" s="2"/>
    </row>
    <row r="53" spans="1:11" ht="15.75" customHeight="1">
      <c r="A53" s="1"/>
      <c r="B53" s="2"/>
      <c r="C53" s="2"/>
      <c r="D53" s="1"/>
      <c r="E53" s="3"/>
      <c r="F53" s="1"/>
      <c r="G53" s="2"/>
      <c r="H53" s="2"/>
      <c r="I53" s="2"/>
      <c r="J53" s="2"/>
      <c r="K53" s="2"/>
    </row>
    <row r="54" spans="1:11" ht="15.75" customHeight="1">
      <c r="A54" s="1"/>
      <c r="B54" s="2"/>
      <c r="C54" s="2"/>
      <c r="D54" s="1"/>
      <c r="E54" s="3"/>
      <c r="F54" s="1"/>
      <c r="G54" s="2"/>
      <c r="H54" s="2"/>
      <c r="I54" s="2"/>
      <c r="J54" s="2"/>
      <c r="K54" s="2"/>
    </row>
    <row r="55" spans="1:11" ht="15.75" customHeight="1">
      <c r="A55" s="1"/>
      <c r="B55" s="2"/>
      <c r="C55" s="2"/>
      <c r="D55" s="1"/>
      <c r="E55" s="3"/>
      <c r="F55" s="1"/>
      <c r="G55" s="2"/>
      <c r="H55" s="2"/>
      <c r="I55" s="2"/>
      <c r="J55" s="2"/>
      <c r="K55" s="2"/>
    </row>
    <row r="56" spans="1:11" ht="15.75" customHeight="1">
      <c r="A56" s="1"/>
      <c r="B56" s="2"/>
      <c r="C56" s="2"/>
      <c r="D56" s="1"/>
      <c r="E56" s="3"/>
      <c r="F56" s="1"/>
      <c r="G56" s="2"/>
      <c r="H56" s="2"/>
      <c r="I56" s="2"/>
      <c r="J56" s="2"/>
      <c r="K56" s="2"/>
    </row>
    <row r="57" spans="1:11" ht="15.75" customHeight="1">
      <c r="A57" s="1"/>
      <c r="B57" s="2"/>
      <c r="C57" s="2"/>
      <c r="D57" s="1"/>
      <c r="E57" s="3"/>
      <c r="F57" s="1"/>
      <c r="G57" s="2"/>
      <c r="H57" s="2"/>
      <c r="I57" s="2"/>
      <c r="J57" s="2"/>
      <c r="K57" s="2"/>
    </row>
    <row r="58" spans="1:11" ht="15.75" customHeight="1">
      <c r="A58" s="1"/>
      <c r="B58" s="2"/>
      <c r="C58" s="2"/>
      <c r="D58" s="1"/>
      <c r="E58" s="3"/>
      <c r="F58" s="1"/>
      <c r="G58" s="2"/>
      <c r="H58" s="2"/>
      <c r="I58" s="2"/>
      <c r="J58" s="2"/>
      <c r="K58" s="2"/>
    </row>
    <row r="59" spans="1:11" ht="15.75" customHeight="1">
      <c r="A59" s="1"/>
      <c r="B59" s="2"/>
      <c r="C59" s="2"/>
      <c r="D59" s="1"/>
      <c r="E59" s="3"/>
      <c r="F59" s="1"/>
      <c r="G59" s="2"/>
      <c r="H59" s="2"/>
      <c r="I59" s="2"/>
      <c r="J59" s="2"/>
      <c r="K59" s="2"/>
    </row>
    <row r="60" spans="1:11" ht="15.75" customHeight="1">
      <c r="A60" s="1"/>
      <c r="B60" s="2"/>
      <c r="C60" s="2"/>
      <c r="D60" s="1"/>
      <c r="E60" s="3"/>
      <c r="F60" s="1"/>
      <c r="G60" s="2"/>
      <c r="H60" s="2"/>
      <c r="I60" s="2"/>
      <c r="J60" s="2"/>
      <c r="K60" s="2"/>
    </row>
    <row r="61" spans="1:11" ht="15.75" customHeight="1">
      <c r="A61" s="1"/>
      <c r="B61" s="2"/>
      <c r="C61" s="2"/>
      <c r="D61" s="1"/>
      <c r="E61" s="3"/>
      <c r="F61" s="1"/>
      <c r="G61" s="2"/>
      <c r="H61" s="2"/>
      <c r="I61" s="2"/>
      <c r="J61" s="2"/>
      <c r="K61" s="2"/>
    </row>
    <row r="62" spans="1:11" ht="15.75" customHeight="1">
      <c r="A62" s="1"/>
      <c r="B62" s="2"/>
      <c r="C62" s="2"/>
      <c r="D62" s="1"/>
      <c r="E62" s="3"/>
      <c r="F62" s="1"/>
      <c r="G62" s="2"/>
      <c r="H62" s="2"/>
      <c r="I62" s="2"/>
      <c r="J62" s="2"/>
      <c r="K62" s="2"/>
    </row>
    <row r="63" spans="1:11" ht="15.75" customHeight="1">
      <c r="A63" s="1"/>
      <c r="B63" s="2"/>
      <c r="C63" s="2"/>
      <c r="D63" s="1"/>
      <c r="E63" s="3"/>
      <c r="F63" s="1"/>
      <c r="G63" s="2"/>
      <c r="H63" s="2"/>
      <c r="I63" s="2"/>
      <c r="J63" s="2"/>
      <c r="K63" s="2"/>
    </row>
    <row r="64" spans="1:11" ht="15.75" customHeight="1">
      <c r="A64" s="1"/>
      <c r="B64" s="2"/>
      <c r="C64" s="2"/>
      <c r="D64" s="1"/>
      <c r="E64" s="3"/>
      <c r="F64" s="1"/>
      <c r="G64" s="2"/>
      <c r="H64" s="2"/>
      <c r="I64" s="2"/>
      <c r="J64" s="2"/>
      <c r="K64" s="2"/>
    </row>
    <row r="65" spans="1:11" ht="15.75" customHeight="1">
      <c r="A65" s="1"/>
      <c r="B65" s="2"/>
      <c r="C65" s="2"/>
      <c r="D65" s="1"/>
      <c r="E65" s="3"/>
      <c r="F65" s="1"/>
      <c r="G65" s="2"/>
      <c r="H65" s="2"/>
      <c r="I65" s="2"/>
      <c r="J65" s="2"/>
      <c r="K65" s="2"/>
    </row>
    <row r="66" spans="1:11" ht="15.75" customHeight="1">
      <c r="A66" s="1"/>
      <c r="B66" s="2"/>
      <c r="C66" s="2"/>
      <c r="D66" s="1"/>
      <c r="E66" s="3"/>
      <c r="F66" s="1"/>
      <c r="G66" s="2"/>
      <c r="H66" s="2"/>
      <c r="I66" s="2"/>
      <c r="J66" s="2"/>
      <c r="K66" s="2"/>
    </row>
    <row r="67" spans="1:11" ht="15.75" customHeight="1">
      <c r="A67" s="1"/>
      <c r="B67" s="2"/>
      <c r="C67" s="2"/>
      <c r="D67" s="1"/>
      <c r="E67" s="3"/>
      <c r="F67" s="1"/>
      <c r="G67" s="2"/>
      <c r="H67" s="2"/>
      <c r="I67" s="2"/>
      <c r="J67" s="2"/>
      <c r="K67" s="2"/>
    </row>
    <row r="68" spans="1:11" ht="15.75" customHeight="1">
      <c r="A68" s="1"/>
      <c r="B68" s="2"/>
      <c r="C68" s="2"/>
      <c r="D68" s="1"/>
      <c r="E68" s="3"/>
      <c r="F68" s="1"/>
      <c r="G68" s="2"/>
      <c r="H68" s="2"/>
      <c r="I68" s="2"/>
      <c r="J68" s="2"/>
      <c r="K68" s="2"/>
    </row>
    <row r="69" spans="1:11" ht="15.75" customHeight="1">
      <c r="A69" s="1"/>
      <c r="B69" s="2"/>
      <c r="C69" s="2"/>
      <c r="D69" s="1"/>
      <c r="E69" s="3"/>
      <c r="F69" s="1"/>
      <c r="G69" s="2"/>
      <c r="H69" s="2"/>
      <c r="I69" s="2"/>
      <c r="J69" s="2"/>
      <c r="K69" s="2"/>
    </row>
    <row r="70" spans="1:11" ht="15.75" customHeight="1">
      <c r="A70" s="1"/>
      <c r="B70" s="2"/>
      <c r="C70" s="2"/>
      <c r="D70" s="1"/>
      <c r="E70" s="3"/>
      <c r="F70" s="1"/>
      <c r="G70" s="2"/>
      <c r="H70" s="2"/>
      <c r="I70" s="2"/>
      <c r="J70" s="2"/>
      <c r="K70" s="2"/>
    </row>
    <row r="71" spans="1:11" ht="15.75" customHeight="1">
      <c r="A71" s="1"/>
      <c r="B71" s="2"/>
      <c r="C71" s="2"/>
      <c r="D71" s="1"/>
      <c r="E71" s="3"/>
      <c r="F71" s="1"/>
      <c r="G71" s="2"/>
      <c r="H71" s="2"/>
      <c r="I71" s="2"/>
      <c r="J71" s="2"/>
      <c r="K71" s="2"/>
    </row>
    <row r="72" spans="1:11" ht="15.75" customHeight="1">
      <c r="A72" s="1"/>
      <c r="B72" s="2"/>
      <c r="C72" s="2"/>
      <c r="D72" s="1"/>
      <c r="E72" s="3"/>
      <c r="F72" s="1"/>
      <c r="G72" s="2"/>
      <c r="H72" s="2"/>
      <c r="I72" s="2"/>
      <c r="J72" s="2"/>
      <c r="K72" s="2"/>
    </row>
    <row r="73" spans="1:11" ht="15.75" customHeight="1">
      <c r="A73" s="1"/>
      <c r="B73" s="2"/>
      <c r="C73" s="2"/>
      <c r="D73" s="1"/>
      <c r="E73" s="3"/>
      <c r="F73" s="1"/>
      <c r="G73" s="2"/>
      <c r="H73" s="2"/>
      <c r="I73" s="2"/>
      <c r="J73" s="2"/>
      <c r="K73" s="2"/>
    </row>
    <row r="74" spans="1:11" ht="15.75" customHeight="1">
      <c r="A74" s="1"/>
      <c r="B74" s="2"/>
      <c r="C74" s="2"/>
      <c r="D74" s="1"/>
      <c r="E74" s="3"/>
      <c r="F74" s="1"/>
      <c r="G74" s="2"/>
      <c r="H74" s="2"/>
      <c r="I74" s="2"/>
      <c r="J74" s="2"/>
      <c r="K74" s="2"/>
    </row>
    <row r="75" spans="1:11" ht="15.75" customHeight="1">
      <c r="A75" s="1"/>
      <c r="B75" s="2"/>
      <c r="C75" s="2"/>
      <c r="D75" s="1"/>
      <c r="E75" s="3"/>
      <c r="F75" s="1"/>
      <c r="G75" s="2"/>
      <c r="H75" s="2"/>
      <c r="I75" s="2"/>
      <c r="J75" s="2"/>
      <c r="K75" s="2"/>
    </row>
    <row r="76" spans="1:11" ht="15.75" customHeight="1">
      <c r="A76" s="1"/>
      <c r="B76" s="2"/>
      <c r="C76" s="2"/>
      <c r="D76" s="1"/>
      <c r="E76" s="3"/>
      <c r="F76" s="1"/>
      <c r="G76" s="2"/>
      <c r="H76" s="2"/>
      <c r="I76" s="2"/>
      <c r="J76" s="2"/>
      <c r="K76" s="2"/>
    </row>
    <row r="77" spans="1:11" ht="15.75" customHeight="1">
      <c r="A77" s="1"/>
      <c r="B77" s="2"/>
      <c r="C77" s="2"/>
      <c r="D77" s="1"/>
      <c r="E77" s="3"/>
      <c r="F77" s="1"/>
      <c r="G77" s="2"/>
      <c r="H77" s="2"/>
      <c r="I77" s="2"/>
      <c r="J77" s="2"/>
      <c r="K77" s="2"/>
    </row>
    <row r="78" spans="1:11" ht="15.75" customHeight="1">
      <c r="A78" s="1"/>
      <c r="B78" s="2"/>
      <c r="C78" s="2"/>
      <c r="D78" s="1"/>
      <c r="E78" s="3"/>
      <c r="F78" s="1"/>
      <c r="G78" s="2"/>
      <c r="H78" s="2"/>
      <c r="I78" s="2"/>
      <c r="J78" s="2"/>
      <c r="K78" s="2"/>
    </row>
    <row r="79" spans="1:11" ht="15.75" customHeight="1">
      <c r="A79" s="1"/>
      <c r="B79" s="2"/>
      <c r="C79" s="2"/>
      <c r="D79" s="1"/>
      <c r="E79" s="3"/>
      <c r="F79" s="1"/>
      <c r="G79" s="2"/>
      <c r="H79" s="2"/>
      <c r="I79" s="2"/>
      <c r="J79" s="2"/>
      <c r="K79" s="2"/>
    </row>
    <row r="80" spans="1:11" ht="15.75" customHeight="1">
      <c r="A80" s="1"/>
      <c r="B80" s="2"/>
      <c r="C80" s="2"/>
      <c r="D80" s="1"/>
      <c r="E80" s="3"/>
      <c r="F80" s="1"/>
      <c r="G80" s="2"/>
      <c r="H80" s="2"/>
      <c r="I80" s="2"/>
      <c r="J80" s="2"/>
      <c r="K80" s="2"/>
    </row>
    <row r="81" spans="1:11" ht="15.75" customHeight="1">
      <c r="A81" s="1"/>
      <c r="B81" s="2"/>
      <c r="C81" s="2"/>
      <c r="D81" s="1"/>
      <c r="E81" s="3"/>
      <c r="F81" s="1"/>
      <c r="G81" s="2"/>
      <c r="H81" s="2"/>
      <c r="I81" s="2"/>
      <c r="J81" s="2"/>
      <c r="K81" s="2"/>
    </row>
    <row r="82" spans="1:11" ht="15.75" customHeight="1">
      <c r="A82" s="1"/>
      <c r="B82" s="2"/>
      <c r="C82" s="2"/>
      <c r="D82" s="1"/>
      <c r="E82" s="3"/>
      <c r="F82" s="1"/>
      <c r="G82" s="2"/>
      <c r="H82" s="2"/>
      <c r="I82" s="2"/>
      <c r="J82" s="2"/>
      <c r="K82" s="2"/>
    </row>
    <row r="83" spans="1:11" ht="15.75" customHeight="1">
      <c r="A83" s="1"/>
      <c r="B83" s="2"/>
      <c r="C83" s="2"/>
      <c r="D83" s="1"/>
      <c r="E83" s="3"/>
      <c r="F83" s="1"/>
      <c r="G83" s="2"/>
      <c r="H83" s="2"/>
      <c r="I83" s="2"/>
      <c r="J83" s="2"/>
      <c r="K83" s="2"/>
    </row>
    <row r="84" spans="1:11" ht="15.75" customHeight="1">
      <c r="A84" s="1"/>
      <c r="B84" s="2"/>
      <c r="C84" s="2"/>
      <c r="D84" s="1"/>
      <c r="E84" s="3"/>
      <c r="F84" s="1"/>
      <c r="G84" s="2"/>
      <c r="H84" s="2"/>
      <c r="I84" s="2"/>
      <c r="J84" s="2"/>
      <c r="K84" s="2"/>
    </row>
    <row r="85" spans="1:11" ht="15.75" customHeight="1">
      <c r="A85" s="1"/>
      <c r="B85" s="2"/>
      <c r="C85" s="2"/>
      <c r="D85" s="1"/>
      <c r="E85" s="3"/>
      <c r="F85" s="1"/>
      <c r="G85" s="2"/>
      <c r="H85" s="2"/>
      <c r="I85" s="2"/>
      <c r="J85" s="2"/>
      <c r="K85" s="2"/>
    </row>
    <row r="86" spans="1:11" ht="15.75" customHeight="1">
      <c r="A86" s="1"/>
      <c r="B86" s="2"/>
      <c r="C86" s="2"/>
      <c r="D86" s="1"/>
      <c r="E86" s="3"/>
      <c r="F86" s="1"/>
      <c r="G86" s="2"/>
      <c r="H86" s="2"/>
      <c r="I86" s="2"/>
      <c r="J86" s="2"/>
      <c r="K86" s="2"/>
    </row>
    <row r="87" spans="1:11" ht="15.75" customHeight="1">
      <c r="A87" s="1"/>
      <c r="B87" s="2"/>
      <c r="C87" s="2"/>
      <c r="D87" s="1"/>
      <c r="E87" s="3"/>
      <c r="F87" s="1"/>
      <c r="G87" s="2"/>
      <c r="H87" s="2"/>
      <c r="I87" s="2"/>
      <c r="J87" s="2"/>
      <c r="K87" s="2"/>
    </row>
    <row r="88" spans="1:11" ht="15.75" customHeight="1">
      <c r="A88" s="1"/>
      <c r="B88" s="2"/>
      <c r="C88" s="2"/>
      <c r="D88" s="1"/>
      <c r="E88" s="3"/>
      <c r="F88" s="1"/>
      <c r="G88" s="2"/>
      <c r="H88" s="2"/>
      <c r="I88" s="2"/>
      <c r="J88" s="2"/>
      <c r="K88" s="2"/>
    </row>
    <row r="89" spans="1:11" ht="15.75" customHeight="1">
      <c r="A89" s="1"/>
      <c r="B89" s="2"/>
      <c r="C89" s="2"/>
      <c r="D89" s="1"/>
      <c r="E89" s="3"/>
      <c r="F89" s="1"/>
      <c r="G89" s="2"/>
      <c r="H89" s="2"/>
      <c r="I89" s="2"/>
      <c r="J89" s="2"/>
      <c r="K89" s="2"/>
    </row>
    <row r="90" spans="1:11" ht="15.75" customHeight="1">
      <c r="A90" s="1"/>
      <c r="B90" s="2"/>
      <c r="C90" s="2"/>
      <c r="D90" s="1"/>
      <c r="E90" s="3"/>
      <c r="F90" s="1"/>
      <c r="G90" s="2"/>
      <c r="H90" s="2"/>
      <c r="I90" s="2"/>
      <c r="J90" s="2"/>
      <c r="K90" s="2"/>
    </row>
    <row r="91" spans="1:11" ht="15.75" customHeight="1">
      <c r="A91" s="1"/>
      <c r="B91" s="2"/>
      <c r="C91" s="2"/>
      <c r="D91" s="1"/>
      <c r="E91" s="3"/>
      <c r="F91" s="1"/>
      <c r="G91" s="2"/>
      <c r="H91" s="2"/>
      <c r="I91" s="2"/>
      <c r="J91" s="2"/>
      <c r="K91" s="2"/>
    </row>
    <row r="92" spans="1:11" ht="15.75" customHeight="1">
      <c r="A92" s="1"/>
      <c r="B92" s="2"/>
      <c r="C92" s="2"/>
      <c r="D92" s="1"/>
      <c r="E92" s="3"/>
      <c r="F92" s="1"/>
      <c r="G92" s="2"/>
      <c r="H92" s="2"/>
      <c r="I92" s="2"/>
      <c r="J92" s="2"/>
      <c r="K92" s="2"/>
    </row>
    <row r="93" spans="1:11" ht="15.75" customHeight="1">
      <c r="A93" s="1"/>
      <c r="B93" s="2"/>
      <c r="C93" s="2"/>
      <c r="D93" s="1"/>
      <c r="E93" s="3"/>
      <c r="F93" s="1"/>
      <c r="G93" s="2"/>
      <c r="H93" s="2"/>
      <c r="I93" s="2"/>
      <c r="J93" s="2"/>
      <c r="K93" s="2"/>
    </row>
    <row r="94" spans="1:11" ht="15.75" customHeight="1">
      <c r="A94" s="1"/>
      <c r="B94" s="2"/>
      <c r="C94" s="2"/>
      <c r="D94" s="1"/>
      <c r="E94" s="3"/>
      <c r="F94" s="1"/>
      <c r="G94" s="2"/>
      <c r="H94" s="2"/>
      <c r="I94" s="2"/>
      <c r="J94" s="2"/>
      <c r="K94" s="2"/>
    </row>
    <row r="95" spans="1:11" ht="15.75" customHeight="1">
      <c r="A95" s="1"/>
      <c r="B95" s="2"/>
      <c r="C95" s="2"/>
      <c r="D95" s="1"/>
      <c r="E95" s="3"/>
      <c r="F95" s="1"/>
      <c r="G95" s="2"/>
      <c r="H95" s="2"/>
      <c r="I95" s="2"/>
      <c r="J95" s="2"/>
      <c r="K95" s="2"/>
    </row>
    <row r="96" spans="1:11" ht="15.75" customHeight="1">
      <c r="A96" s="1"/>
      <c r="B96" s="2"/>
      <c r="C96" s="2"/>
      <c r="D96" s="1"/>
      <c r="E96" s="3"/>
      <c r="F96" s="1"/>
      <c r="G96" s="2"/>
      <c r="H96" s="2"/>
      <c r="I96" s="2"/>
      <c r="J96" s="2"/>
      <c r="K96" s="2"/>
    </row>
    <row r="97" spans="1:11" ht="15.75" customHeight="1">
      <c r="A97" s="1"/>
      <c r="B97" s="2"/>
      <c r="C97" s="2"/>
      <c r="D97" s="1"/>
      <c r="E97" s="3"/>
      <c r="F97" s="1"/>
      <c r="G97" s="2"/>
      <c r="H97" s="2"/>
      <c r="I97" s="2"/>
      <c r="J97" s="2"/>
      <c r="K97" s="2"/>
    </row>
    <row r="98" spans="1:11" ht="15.75" customHeight="1">
      <c r="A98" s="1"/>
      <c r="B98" s="2"/>
      <c r="C98" s="2"/>
      <c r="D98" s="1"/>
      <c r="E98" s="3"/>
      <c r="F98" s="1"/>
      <c r="G98" s="2"/>
      <c r="H98" s="2"/>
      <c r="I98" s="2"/>
      <c r="J98" s="2"/>
      <c r="K98" s="2"/>
    </row>
    <row r="99" spans="1:11" ht="15.75" customHeight="1">
      <c r="A99" s="1"/>
      <c r="B99" s="2"/>
      <c r="C99" s="2"/>
      <c r="D99" s="1"/>
      <c r="E99" s="3"/>
      <c r="F99" s="1"/>
      <c r="G99" s="2"/>
      <c r="H99" s="2"/>
      <c r="I99" s="2"/>
      <c r="J99" s="2"/>
      <c r="K99" s="2"/>
    </row>
    <row r="100" spans="1:11" ht="15.75" customHeight="1">
      <c r="A100" s="1"/>
      <c r="B100" s="2"/>
      <c r="C100" s="2"/>
      <c r="D100" s="1"/>
      <c r="E100" s="3"/>
      <c r="F100" s="1"/>
      <c r="G100" s="2"/>
      <c r="H100" s="2"/>
      <c r="I100" s="2"/>
      <c r="J100" s="2"/>
      <c r="K100" s="2"/>
    </row>
    <row r="101" spans="1:1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mergeCells count="1">
    <mergeCell ref="A2:G2"/>
  </mergeCells>
  <phoneticPr fontId="51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1.125" defaultRowHeight="15" customHeight="1"/>
  <cols>
    <col min="1" max="1" width="5.625" customWidth="1"/>
    <col min="2" max="2" width="10.375" customWidth="1"/>
    <col min="3" max="3" width="13.125" customWidth="1"/>
    <col min="4" max="4" width="3.125" customWidth="1"/>
    <col min="5" max="5" width="14.875" customWidth="1"/>
    <col min="6" max="6" width="6.375" customWidth="1"/>
    <col min="7" max="7" width="14.875" customWidth="1"/>
    <col min="8" max="11" width="5.375" customWidth="1"/>
    <col min="12" max="26" width="9.875" customWidth="1"/>
  </cols>
  <sheetData>
    <row r="1" spans="1:11" ht="16.5" customHeight="1">
      <c r="A1" s="1"/>
      <c r="B1" s="2"/>
      <c r="C1" s="2"/>
      <c r="D1" s="1"/>
      <c r="E1" s="3"/>
      <c r="F1" s="1"/>
      <c r="G1" s="2"/>
      <c r="H1" s="2"/>
      <c r="I1" s="2"/>
      <c r="J1" s="2"/>
      <c r="K1" s="2"/>
    </row>
    <row r="2" spans="1:11" ht="19.5" customHeight="1">
      <c r="A2" s="183" t="s">
        <v>13</v>
      </c>
      <c r="B2" s="184"/>
      <c r="C2" s="184"/>
      <c r="D2" s="184"/>
      <c r="E2" s="184"/>
      <c r="F2" s="184"/>
      <c r="G2" s="184"/>
      <c r="H2" s="2"/>
      <c r="I2" s="2"/>
      <c r="J2" s="2"/>
      <c r="K2" s="2"/>
    </row>
    <row r="3" spans="1:11" ht="16.5" customHeight="1">
      <c r="A3" s="4"/>
      <c r="B3" s="4"/>
      <c r="C3" s="4"/>
      <c r="D3" s="4"/>
      <c r="E3" s="3"/>
      <c r="F3" s="1"/>
      <c r="G3" s="2"/>
      <c r="H3" s="2"/>
      <c r="I3" s="2"/>
      <c r="J3" s="2"/>
      <c r="K3" s="2"/>
    </row>
    <row r="4" spans="1:11" ht="16.5" customHeight="1">
      <c r="A4" s="5" t="s">
        <v>1</v>
      </c>
      <c r="B4" s="6" t="s">
        <v>2</v>
      </c>
      <c r="C4" s="5" t="s">
        <v>3</v>
      </c>
      <c r="D4" s="5" t="s">
        <v>4</v>
      </c>
      <c r="E4" s="7" t="s">
        <v>5</v>
      </c>
      <c r="F4" s="5" t="s">
        <v>6</v>
      </c>
      <c r="G4" s="5" t="s">
        <v>7</v>
      </c>
      <c r="H4" s="2"/>
      <c r="I4" s="2"/>
      <c r="J4" s="2"/>
      <c r="K4" s="2"/>
    </row>
    <row r="5" spans="1:11" ht="16.5" customHeight="1">
      <c r="A5" s="1"/>
      <c r="B5" s="2"/>
      <c r="C5" s="2"/>
      <c r="D5" s="1"/>
      <c r="E5" s="3"/>
      <c r="F5" s="1"/>
      <c r="G5" s="2"/>
      <c r="H5" s="2"/>
      <c r="I5" s="2"/>
      <c r="J5" s="2"/>
      <c r="K5" s="2"/>
    </row>
    <row r="6" spans="1:11" ht="16.5" customHeight="1">
      <c r="A6" s="1"/>
      <c r="B6" s="2"/>
      <c r="C6" s="2"/>
      <c r="D6" s="1"/>
      <c r="E6" s="3"/>
      <c r="F6" s="1"/>
      <c r="G6" s="2"/>
      <c r="H6" s="2"/>
      <c r="I6" s="2"/>
      <c r="J6" s="2"/>
      <c r="K6" s="2"/>
    </row>
    <row r="7" spans="1:11" ht="16.5" customHeight="1">
      <c r="A7" s="1"/>
      <c r="B7" s="2"/>
      <c r="C7" s="2"/>
      <c r="D7" s="1"/>
      <c r="E7" s="3"/>
      <c r="F7" s="1"/>
      <c r="G7" s="2"/>
      <c r="H7" s="2"/>
      <c r="I7" s="2"/>
      <c r="J7" s="2"/>
      <c r="K7" s="2"/>
    </row>
    <row r="8" spans="1:11" ht="16.5" customHeight="1">
      <c r="A8" s="1"/>
      <c r="B8" s="2"/>
      <c r="C8" s="2"/>
      <c r="D8" s="1"/>
      <c r="E8" s="3"/>
      <c r="F8" s="1"/>
      <c r="G8" s="2"/>
      <c r="H8" s="2"/>
      <c r="I8" s="2"/>
      <c r="J8" s="2"/>
      <c r="K8" s="2"/>
    </row>
    <row r="9" spans="1:11" ht="16.5" customHeight="1">
      <c r="A9" s="1"/>
      <c r="B9" s="2"/>
      <c r="C9" s="2"/>
      <c r="D9" s="1"/>
      <c r="E9" s="3"/>
      <c r="F9" s="1"/>
      <c r="G9" s="2"/>
      <c r="H9" s="2"/>
      <c r="I9" s="2"/>
      <c r="J9" s="2"/>
      <c r="K9" s="2"/>
    </row>
    <row r="10" spans="1:11" ht="16.5" customHeight="1">
      <c r="A10" s="1"/>
      <c r="B10" s="2"/>
      <c r="C10" s="2"/>
      <c r="D10" s="1"/>
      <c r="E10" s="3"/>
      <c r="F10" s="1"/>
      <c r="G10" s="2"/>
      <c r="H10" s="2"/>
      <c r="I10" s="2"/>
      <c r="J10" s="2"/>
      <c r="K10" s="2"/>
    </row>
    <row r="11" spans="1:11" ht="16.5" customHeight="1">
      <c r="A11" s="1"/>
      <c r="B11" s="2"/>
      <c r="C11" s="2"/>
      <c r="D11" s="1"/>
      <c r="E11" s="3"/>
      <c r="F11" s="1"/>
      <c r="G11" s="2"/>
      <c r="H11" s="2"/>
      <c r="I11" s="2"/>
      <c r="J11" s="2"/>
      <c r="K11" s="2"/>
    </row>
    <row r="12" spans="1:11" ht="16.5" customHeight="1">
      <c r="A12" s="1"/>
      <c r="B12" s="2"/>
      <c r="C12" s="2"/>
      <c r="D12" s="1"/>
      <c r="E12" s="3"/>
      <c r="F12" s="1"/>
      <c r="G12" s="2"/>
      <c r="H12" s="2"/>
      <c r="I12" s="2"/>
      <c r="J12" s="2"/>
      <c r="K12" s="2"/>
    </row>
    <row r="13" spans="1:11" ht="16.5" customHeight="1">
      <c r="A13" s="1"/>
      <c r="B13" s="2"/>
      <c r="C13" s="2"/>
      <c r="D13" s="1"/>
      <c r="E13" s="3"/>
      <c r="F13" s="1"/>
      <c r="G13" s="2"/>
      <c r="H13" s="2"/>
      <c r="I13" s="2"/>
      <c r="J13" s="2"/>
      <c r="K13" s="2"/>
    </row>
    <row r="14" spans="1:11" ht="16.5" customHeight="1">
      <c r="A14" s="1"/>
      <c r="B14" s="2"/>
      <c r="C14" s="2"/>
      <c r="D14" s="1"/>
      <c r="E14" s="3"/>
      <c r="F14" s="1"/>
      <c r="G14" s="2"/>
      <c r="H14" s="2"/>
      <c r="I14" s="2"/>
      <c r="J14" s="2"/>
      <c r="K14" s="2"/>
    </row>
    <row r="15" spans="1:11" ht="16.5" customHeight="1">
      <c r="A15" s="1"/>
      <c r="B15" s="2"/>
      <c r="C15" s="2"/>
      <c r="D15" s="1"/>
      <c r="E15" s="3"/>
      <c r="F15" s="1"/>
      <c r="G15" s="2"/>
      <c r="H15" s="2"/>
      <c r="I15" s="2"/>
      <c r="J15" s="2"/>
      <c r="K15" s="2"/>
    </row>
    <row r="16" spans="1:11" ht="16.5" customHeight="1">
      <c r="A16" s="1"/>
      <c r="B16" s="2"/>
      <c r="C16" s="2"/>
      <c r="D16" s="1"/>
      <c r="E16" s="3"/>
      <c r="F16" s="1"/>
      <c r="G16" s="2"/>
      <c r="H16" s="2"/>
      <c r="I16" s="2"/>
      <c r="J16" s="2"/>
      <c r="K16" s="2"/>
    </row>
    <row r="17" spans="1:11" ht="16.5" customHeight="1">
      <c r="A17" s="1"/>
      <c r="B17" s="2"/>
      <c r="C17" s="2"/>
      <c r="D17" s="1"/>
      <c r="E17" s="3"/>
      <c r="F17" s="1"/>
      <c r="G17" s="2"/>
      <c r="H17" s="2"/>
      <c r="I17" s="2"/>
      <c r="J17" s="2"/>
      <c r="K17" s="2"/>
    </row>
    <row r="18" spans="1:11" ht="16.5" customHeight="1">
      <c r="A18" s="1"/>
      <c r="B18" s="2"/>
      <c r="C18" s="2"/>
      <c r="D18" s="1"/>
      <c r="E18" s="3"/>
      <c r="F18" s="1"/>
      <c r="G18" s="2"/>
      <c r="H18" s="2"/>
      <c r="I18" s="2"/>
      <c r="J18" s="2"/>
      <c r="K18" s="2"/>
    </row>
    <row r="19" spans="1:11" ht="16.5" customHeight="1">
      <c r="A19" s="1"/>
      <c r="B19" s="2"/>
      <c r="C19" s="2"/>
      <c r="D19" s="1"/>
      <c r="E19" s="3"/>
      <c r="F19" s="1"/>
      <c r="G19" s="2"/>
      <c r="H19" s="2"/>
      <c r="I19" s="2"/>
      <c r="J19" s="2"/>
      <c r="K19" s="2"/>
    </row>
    <row r="20" spans="1:11" ht="16.5" customHeight="1">
      <c r="A20" s="1"/>
      <c r="B20" s="2"/>
      <c r="C20" s="2"/>
      <c r="D20" s="1"/>
      <c r="E20" s="3"/>
      <c r="F20" s="1"/>
      <c r="G20" s="2"/>
      <c r="H20" s="2"/>
      <c r="I20" s="2"/>
      <c r="J20" s="2"/>
      <c r="K20" s="2"/>
    </row>
    <row r="21" spans="1:11" ht="15.75" customHeight="1">
      <c r="A21" s="8" t="s">
        <v>8</v>
      </c>
      <c r="B21" s="2"/>
      <c r="C21" s="2"/>
      <c r="D21" s="1"/>
      <c r="E21" s="3"/>
      <c r="F21" s="1"/>
      <c r="G21" s="2"/>
      <c r="H21" s="2"/>
      <c r="I21" s="2"/>
      <c r="J21" s="2"/>
      <c r="K21" s="2"/>
    </row>
    <row r="22" spans="1:11" ht="15.75" customHeight="1">
      <c r="A22" s="8" t="s">
        <v>9</v>
      </c>
      <c r="B22" s="2"/>
      <c r="C22" s="2"/>
      <c r="D22" s="1"/>
      <c r="E22" s="3"/>
      <c r="F22" s="1"/>
      <c r="G22" s="2"/>
      <c r="H22" s="2"/>
      <c r="I22" s="2"/>
      <c r="J22" s="2"/>
      <c r="K22" s="2"/>
    </row>
    <row r="23" spans="1:11" ht="15.75" customHeight="1">
      <c r="A23" s="8" t="s">
        <v>10</v>
      </c>
      <c r="B23" s="2"/>
      <c r="C23" s="2"/>
      <c r="D23" s="1"/>
      <c r="E23" s="3"/>
      <c r="F23" s="1"/>
      <c r="G23" s="2"/>
      <c r="H23" s="2"/>
      <c r="I23" s="2"/>
      <c r="J23" s="2"/>
      <c r="K23" s="2"/>
    </row>
    <row r="24" spans="1:11" ht="15.75" customHeight="1">
      <c r="A24" s="8" t="s">
        <v>11</v>
      </c>
      <c r="B24" s="2"/>
      <c r="C24" s="2"/>
      <c r="D24" s="3"/>
      <c r="E24" s="1"/>
      <c r="F24" s="2"/>
      <c r="G24" s="2"/>
      <c r="H24" s="2"/>
      <c r="I24" s="2"/>
      <c r="J24" s="2"/>
      <c r="K24" s="2"/>
    </row>
    <row r="25" spans="1:11" ht="15.75" customHeight="1">
      <c r="A25" s="9" t="s">
        <v>12</v>
      </c>
      <c r="B25" s="2"/>
      <c r="C25" s="2"/>
      <c r="D25" s="1"/>
      <c r="E25" s="3"/>
      <c r="F25" s="1"/>
      <c r="G25" s="2"/>
      <c r="H25" s="2"/>
      <c r="I25" s="2"/>
      <c r="J25" s="2"/>
      <c r="K25" s="2"/>
    </row>
    <row r="26" spans="1:11" ht="15.75" customHeight="1">
      <c r="A26" s="1"/>
      <c r="B26" s="2"/>
      <c r="C26" s="2"/>
      <c r="D26" s="1"/>
      <c r="E26" s="3"/>
      <c r="F26" s="1"/>
      <c r="G26" s="2"/>
      <c r="H26" s="2"/>
      <c r="I26" s="2"/>
      <c r="J26" s="2"/>
      <c r="K26" s="2"/>
    </row>
    <row r="27" spans="1:11" ht="15.75" customHeight="1">
      <c r="A27" s="1"/>
      <c r="B27" s="2"/>
      <c r="C27" s="2"/>
      <c r="D27" s="1"/>
      <c r="E27" s="3"/>
      <c r="F27" s="1"/>
      <c r="G27" s="2"/>
      <c r="H27" s="2"/>
      <c r="I27" s="2"/>
      <c r="J27" s="2"/>
      <c r="K27" s="2"/>
    </row>
    <row r="28" spans="1:11" ht="15.75" customHeight="1">
      <c r="A28" s="1"/>
      <c r="B28" s="2"/>
      <c r="C28" s="2"/>
      <c r="D28" s="1"/>
      <c r="E28" s="3"/>
      <c r="F28" s="1"/>
      <c r="G28" s="2"/>
      <c r="H28" s="2"/>
      <c r="I28" s="2"/>
      <c r="J28" s="2"/>
      <c r="K28" s="2"/>
    </row>
    <row r="29" spans="1:11" ht="15.75" customHeight="1">
      <c r="A29" s="1"/>
      <c r="B29" s="2"/>
      <c r="C29" s="2"/>
      <c r="D29" s="1"/>
      <c r="E29" s="3"/>
      <c r="F29" s="1"/>
      <c r="G29" s="2"/>
      <c r="H29" s="2"/>
      <c r="I29" s="2"/>
      <c r="J29" s="2"/>
      <c r="K29" s="2"/>
    </row>
    <row r="30" spans="1:11" ht="15.75" customHeight="1">
      <c r="A30" s="1"/>
      <c r="B30" s="2"/>
      <c r="C30" s="2"/>
      <c r="D30" s="1"/>
      <c r="E30" s="3"/>
      <c r="F30" s="1"/>
      <c r="G30" s="2"/>
      <c r="H30" s="2"/>
      <c r="I30" s="2"/>
      <c r="J30" s="2"/>
      <c r="K30" s="2"/>
    </row>
    <row r="31" spans="1:11" ht="15.75" customHeight="1">
      <c r="A31" s="1"/>
      <c r="B31" s="2"/>
      <c r="C31" s="2"/>
      <c r="D31" s="1"/>
      <c r="E31" s="3"/>
      <c r="F31" s="1"/>
      <c r="G31" s="2"/>
      <c r="H31" s="2"/>
      <c r="I31" s="2"/>
      <c r="J31" s="2"/>
      <c r="K31" s="2"/>
    </row>
    <row r="32" spans="1:11" ht="15.75" customHeight="1">
      <c r="A32" s="1"/>
      <c r="B32" s="2"/>
      <c r="C32" s="2"/>
      <c r="D32" s="1"/>
      <c r="E32" s="3"/>
      <c r="F32" s="1"/>
      <c r="G32" s="2"/>
      <c r="H32" s="2"/>
      <c r="I32" s="2"/>
      <c r="J32" s="2"/>
      <c r="K32" s="2"/>
    </row>
    <row r="33" spans="1:11" ht="15.75" customHeight="1">
      <c r="A33" s="1"/>
      <c r="B33" s="2"/>
      <c r="C33" s="2"/>
      <c r="D33" s="1"/>
      <c r="E33" s="3"/>
      <c r="F33" s="1"/>
      <c r="G33" s="2"/>
      <c r="H33" s="2"/>
      <c r="I33" s="2"/>
      <c r="J33" s="2"/>
      <c r="K33" s="2"/>
    </row>
    <row r="34" spans="1:11" ht="15.75" customHeight="1">
      <c r="A34" s="1"/>
      <c r="B34" s="2"/>
      <c r="C34" s="2"/>
      <c r="D34" s="1"/>
      <c r="E34" s="3"/>
      <c r="F34" s="1"/>
      <c r="G34" s="2"/>
      <c r="H34" s="2"/>
      <c r="I34" s="2"/>
      <c r="J34" s="2"/>
      <c r="K34" s="2"/>
    </row>
    <row r="35" spans="1:11" ht="15.75" customHeight="1">
      <c r="A35" s="1"/>
      <c r="B35" s="2"/>
      <c r="C35" s="2"/>
      <c r="D35" s="1"/>
      <c r="E35" s="3"/>
      <c r="F35" s="1"/>
      <c r="G35" s="2"/>
      <c r="H35" s="2"/>
      <c r="I35" s="2"/>
      <c r="J35" s="2"/>
      <c r="K35" s="2"/>
    </row>
    <row r="36" spans="1:11" ht="15.75" customHeight="1">
      <c r="A36" s="1"/>
      <c r="B36" s="2"/>
      <c r="C36" s="2"/>
      <c r="D36" s="1"/>
      <c r="E36" s="3"/>
      <c r="F36" s="1"/>
      <c r="G36" s="2"/>
      <c r="H36" s="2"/>
      <c r="I36" s="2"/>
      <c r="J36" s="2"/>
      <c r="K36" s="2"/>
    </row>
    <row r="37" spans="1:11" ht="15.75" customHeight="1">
      <c r="A37" s="1"/>
      <c r="B37" s="2"/>
      <c r="C37" s="2"/>
      <c r="D37" s="1"/>
      <c r="E37" s="3"/>
      <c r="F37" s="1"/>
      <c r="G37" s="2"/>
      <c r="H37" s="2"/>
      <c r="I37" s="2"/>
      <c r="J37" s="2"/>
      <c r="K37" s="2"/>
    </row>
    <row r="38" spans="1:11" ht="15.75" customHeight="1">
      <c r="A38" s="1"/>
      <c r="B38" s="2"/>
      <c r="C38" s="2"/>
      <c r="D38" s="1"/>
      <c r="E38" s="3"/>
      <c r="F38" s="1"/>
      <c r="G38" s="2"/>
      <c r="H38" s="2"/>
      <c r="I38" s="2"/>
      <c r="J38" s="2"/>
      <c r="K38" s="2"/>
    </row>
    <row r="39" spans="1:11" ht="15.75" customHeight="1">
      <c r="A39" s="1"/>
      <c r="B39" s="2"/>
      <c r="C39" s="2"/>
      <c r="D39" s="1"/>
      <c r="E39" s="3"/>
      <c r="F39" s="1"/>
      <c r="G39" s="2"/>
      <c r="H39" s="2"/>
      <c r="I39" s="2"/>
      <c r="J39" s="2"/>
      <c r="K39" s="2"/>
    </row>
    <row r="40" spans="1:11" ht="15.75" customHeight="1">
      <c r="A40" s="1"/>
      <c r="B40" s="2"/>
      <c r="C40" s="2"/>
      <c r="D40" s="1"/>
      <c r="E40" s="3"/>
      <c r="F40" s="1"/>
      <c r="G40" s="2"/>
      <c r="H40" s="2"/>
      <c r="I40" s="2"/>
      <c r="J40" s="2"/>
      <c r="K40" s="2"/>
    </row>
    <row r="41" spans="1:11" ht="15.75" customHeight="1">
      <c r="A41" s="1"/>
      <c r="B41" s="2"/>
      <c r="C41" s="2"/>
      <c r="D41" s="1"/>
      <c r="E41" s="3"/>
      <c r="F41" s="1"/>
      <c r="G41" s="2"/>
      <c r="H41" s="2"/>
      <c r="I41" s="2"/>
      <c r="J41" s="2"/>
      <c r="K41" s="2"/>
    </row>
    <row r="42" spans="1:11" ht="15.75" customHeight="1">
      <c r="A42" s="1"/>
      <c r="B42" s="2"/>
      <c r="C42" s="2"/>
      <c r="D42" s="1"/>
      <c r="E42" s="3"/>
      <c r="F42" s="1"/>
      <c r="G42" s="2"/>
      <c r="H42" s="2"/>
      <c r="I42" s="2"/>
      <c r="J42" s="2"/>
      <c r="K42" s="2"/>
    </row>
    <row r="43" spans="1:11" ht="15.75" customHeight="1">
      <c r="A43" s="1"/>
      <c r="B43" s="2"/>
      <c r="C43" s="2"/>
      <c r="D43" s="1"/>
      <c r="E43" s="3"/>
      <c r="F43" s="1"/>
      <c r="G43" s="2"/>
      <c r="H43" s="2"/>
      <c r="I43" s="2"/>
      <c r="J43" s="2"/>
      <c r="K43" s="2"/>
    </row>
    <row r="44" spans="1:11" ht="15.75" customHeight="1">
      <c r="A44" s="1"/>
      <c r="B44" s="2"/>
      <c r="C44" s="2"/>
      <c r="D44" s="1"/>
      <c r="E44" s="3"/>
      <c r="F44" s="1"/>
      <c r="G44" s="2"/>
      <c r="H44" s="2"/>
      <c r="I44" s="2"/>
      <c r="J44" s="2"/>
      <c r="K44" s="2"/>
    </row>
    <row r="45" spans="1:11" ht="15.75" customHeight="1">
      <c r="A45" s="1"/>
      <c r="B45" s="2"/>
      <c r="C45" s="2"/>
      <c r="D45" s="1"/>
      <c r="E45" s="3"/>
      <c r="F45" s="1"/>
      <c r="G45" s="2"/>
      <c r="H45" s="2"/>
      <c r="I45" s="2"/>
      <c r="J45" s="2"/>
      <c r="K45" s="2"/>
    </row>
    <row r="46" spans="1:11" ht="15.75" customHeight="1">
      <c r="A46" s="1"/>
      <c r="B46" s="2"/>
      <c r="C46" s="2"/>
      <c r="D46" s="1"/>
      <c r="E46" s="3"/>
      <c r="F46" s="1"/>
      <c r="G46" s="2"/>
      <c r="H46" s="2"/>
      <c r="I46" s="2"/>
      <c r="J46" s="2"/>
      <c r="K46" s="2"/>
    </row>
    <row r="47" spans="1:11" ht="15.75" customHeight="1">
      <c r="A47" s="1"/>
      <c r="B47" s="2"/>
      <c r="C47" s="2"/>
      <c r="D47" s="1"/>
      <c r="E47" s="3"/>
      <c r="F47" s="1"/>
      <c r="G47" s="2"/>
      <c r="H47" s="2"/>
      <c r="I47" s="2"/>
      <c r="J47" s="2"/>
      <c r="K47" s="2"/>
    </row>
    <row r="48" spans="1:11" ht="15.75" customHeight="1">
      <c r="A48" s="1"/>
      <c r="B48" s="2"/>
      <c r="C48" s="2"/>
      <c r="D48" s="1"/>
      <c r="E48" s="3"/>
      <c r="F48" s="1"/>
      <c r="G48" s="2"/>
      <c r="H48" s="2"/>
      <c r="I48" s="2"/>
      <c r="J48" s="2"/>
      <c r="K48" s="2"/>
    </row>
    <row r="49" spans="1:11" ht="15.75" customHeight="1">
      <c r="A49" s="1"/>
      <c r="B49" s="2"/>
      <c r="C49" s="2"/>
      <c r="D49" s="1"/>
      <c r="E49" s="3"/>
      <c r="F49" s="1"/>
      <c r="G49" s="2"/>
      <c r="H49" s="2"/>
      <c r="I49" s="2"/>
      <c r="J49" s="2"/>
      <c r="K49" s="2"/>
    </row>
    <row r="50" spans="1:11" ht="15.75" customHeight="1">
      <c r="A50" s="1"/>
      <c r="B50" s="2"/>
      <c r="C50" s="2"/>
      <c r="D50" s="1"/>
      <c r="E50" s="3"/>
      <c r="F50" s="1"/>
      <c r="G50" s="2"/>
      <c r="H50" s="2"/>
      <c r="I50" s="2"/>
      <c r="J50" s="2"/>
      <c r="K50" s="2"/>
    </row>
    <row r="51" spans="1:11" ht="15.75" customHeight="1">
      <c r="A51" s="1"/>
      <c r="B51" s="2"/>
      <c r="C51" s="2"/>
      <c r="D51" s="1"/>
      <c r="E51" s="3"/>
      <c r="F51" s="1"/>
      <c r="G51" s="2"/>
      <c r="H51" s="2"/>
      <c r="I51" s="2"/>
      <c r="J51" s="2"/>
      <c r="K51" s="2"/>
    </row>
    <row r="52" spans="1:11" ht="15.75" customHeight="1">
      <c r="A52" s="1"/>
      <c r="B52" s="2"/>
      <c r="C52" s="2"/>
      <c r="D52" s="1"/>
      <c r="E52" s="3"/>
      <c r="F52" s="1"/>
      <c r="G52" s="2"/>
      <c r="H52" s="2"/>
      <c r="I52" s="2"/>
      <c r="J52" s="2"/>
      <c r="K52" s="2"/>
    </row>
    <row r="53" spans="1:11" ht="15.75" customHeight="1">
      <c r="A53" s="1"/>
      <c r="B53" s="2"/>
      <c r="C53" s="2"/>
      <c r="D53" s="1"/>
      <c r="E53" s="3"/>
      <c r="F53" s="1"/>
      <c r="G53" s="2"/>
      <c r="H53" s="2"/>
      <c r="I53" s="2"/>
      <c r="J53" s="2"/>
      <c r="K53" s="2"/>
    </row>
    <row r="54" spans="1:11" ht="15.75" customHeight="1">
      <c r="A54" s="1"/>
      <c r="B54" s="2"/>
      <c r="C54" s="2"/>
      <c r="D54" s="1"/>
      <c r="E54" s="3"/>
      <c r="F54" s="1"/>
      <c r="G54" s="2"/>
      <c r="H54" s="2"/>
      <c r="I54" s="2"/>
      <c r="J54" s="2"/>
      <c r="K54" s="2"/>
    </row>
    <row r="55" spans="1:11" ht="15.75" customHeight="1">
      <c r="A55" s="1"/>
      <c r="B55" s="2"/>
      <c r="C55" s="2"/>
      <c r="D55" s="1"/>
      <c r="E55" s="3"/>
      <c r="F55" s="1"/>
      <c r="G55" s="2"/>
      <c r="H55" s="2"/>
      <c r="I55" s="2"/>
      <c r="J55" s="2"/>
      <c r="K55" s="2"/>
    </row>
    <row r="56" spans="1:11" ht="15.75" customHeight="1">
      <c r="A56" s="1"/>
      <c r="B56" s="2"/>
      <c r="C56" s="2"/>
      <c r="D56" s="1"/>
      <c r="E56" s="3"/>
      <c r="F56" s="1"/>
      <c r="G56" s="2"/>
      <c r="H56" s="2"/>
      <c r="I56" s="2"/>
      <c r="J56" s="2"/>
      <c r="K56" s="2"/>
    </row>
    <row r="57" spans="1:11" ht="15.75" customHeight="1">
      <c r="A57" s="1"/>
      <c r="B57" s="2"/>
      <c r="C57" s="2"/>
      <c r="D57" s="1"/>
      <c r="E57" s="3"/>
      <c r="F57" s="1"/>
      <c r="G57" s="2"/>
      <c r="H57" s="2"/>
      <c r="I57" s="2"/>
      <c r="J57" s="2"/>
      <c r="K57" s="2"/>
    </row>
    <row r="58" spans="1:11" ht="15.75" customHeight="1">
      <c r="A58" s="1"/>
      <c r="B58" s="2"/>
      <c r="C58" s="2"/>
      <c r="D58" s="1"/>
      <c r="E58" s="3"/>
      <c r="F58" s="1"/>
      <c r="G58" s="2"/>
      <c r="H58" s="2"/>
      <c r="I58" s="2"/>
      <c r="J58" s="2"/>
      <c r="K58" s="2"/>
    </row>
    <row r="59" spans="1:11" ht="15.75" customHeight="1">
      <c r="A59" s="1"/>
      <c r="B59" s="2"/>
      <c r="C59" s="2"/>
      <c r="D59" s="1"/>
      <c r="E59" s="3"/>
      <c r="F59" s="1"/>
      <c r="G59" s="2"/>
      <c r="H59" s="2"/>
      <c r="I59" s="2"/>
      <c r="J59" s="2"/>
      <c r="K59" s="2"/>
    </row>
    <row r="60" spans="1:11" ht="15.75" customHeight="1">
      <c r="A60" s="1"/>
      <c r="B60" s="2"/>
      <c r="C60" s="2"/>
      <c r="D60" s="1"/>
      <c r="E60" s="3"/>
      <c r="F60" s="1"/>
      <c r="G60" s="2"/>
      <c r="H60" s="2"/>
      <c r="I60" s="2"/>
      <c r="J60" s="2"/>
      <c r="K60" s="2"/>
    </row>
    <row r="61" spans="1:11" ht="15.75" customHeight="1">
      <c r="A61" s="1"/>
      <c r="B61" s="2"/>
      <c r="C61" s="2"/>
      <c r="D61" s="1"/>
      <c r="E61" s="3"/>
      <c r="F61" s="1"/>
      <c r="G61" s="2"/>
      <c r="H61" s="2"/>
      <c r="I61" s="2"/>
      <c r="J61" s="2"/>
      <c r="K61" s="2"/>
    </row>
    <row r="62" spans="1:11" ht="15.75" customHeight="1">
      <c r="A62" s="1"/>
      <c r="B62" s="2"/>
      <c r="C62" s="2"/>
      <c r="D62" s="1"/>
      <c r="E62" s="3"/>
      <c r="F62" s="1"/>
      <c r="G62" s="2"/>
      <c r="H62" s="2"/>
      <c r="I62" s="2"/>
      <c r="J62" s="2"/>
      <c r="K62" s="2"/>
    </row>
    <row r="63" spans="1:11" ht="15.75" customHeight="1">
      <c r="A63" s="1"/>
      <c r="B63" s="2"/>
      <c r="C63" s="2"/>
      <c r="D63" s="1"/>
      <c r="E63" s="3"/>
      <c r="F63" s="1"/>
      <c r="G63" s="2"/>
      <c r="H63" s="2"/>
      <c r="I63" s="2"/>
      <c r="J63" s="2"/>
      <c r="K63" s="2"/>
    </row>
    <row r="64" spans="1:11" ht="15.75" customHeight="1">
      <c r="A64" s="1"/>
      <c r="B64" s="2"/>
      <c r="C64" s="2"/>
      <c r="D64" s="1"/>
      <c r="E64" s="3"/>
      <c r="F64" s="1"/>
      <c r="G64" s="2"/>
      <c r="H64" s="2"/>
      <c r="I64" s="2"/>
      <c r="J64" s="2"/>
      <c r="K64" s="2"/>
    </row>
    <row r="65" spans="1:11" ht="15.75" customHeight="1">
      <c r="A65" s="1"/>
      <c r="B65" s="2"/>
      <c r="C65" s="2"/>
      <c r="D65" s="1"/>
      <c r="E65" s="3"/>
      <c r="F65" s="1"/>
      <c r="G65" s="2"/>
      <c r="H65" s="2"/>
      <c r="I65" s="2"/>
      <c r="J65" s="2"/>
      <c r="K65" s="2"/>
    </row>
    <row r="66" spans="1:11" ht="15.75" customHeight="1">
      <c r="A66" s="1"/>
      <c r="B66" s="2"/>
      <c r="C66" s="2"/>
      <c r="D66" s="1"/>
      <c r="E66" s="3"/>
      <c r="F66" s="1"/>
      <c r="G66" s="2"/>
      <c r="H66" s="2"/>
      <c r="I66" s="2"/>
      <c r="J66" s="2"/>
      <c r="K66" s="2"/>
    </row>
    <row r="67" spans="1:11" ht="15.75" customHeight="1">
      <c r="A67" s="1"/>
      <c r="B67" s="2"/>
      <c r="C67" s="2"/>
      <c r="D67" s="1"/>
      <c r="E67" s="3"/>
      <c r="F67" s="1"/>
      <c r="G67" s="2"/>
      <c r="H67" s="2"/>
      <c r="I67" s="2"/>
      <c r="J67" s="2"/>
      <c r="K67" s="2"/>
    </row>
    <row r="68" spans="1:11" ht="15.75" customHeight="1">
      <c r="A68" s="1"/>
      <c r="B68" s="2"/>
      <c r="C68" s="2"/>
      <c r="D68" s="1"/>
      <c r="E68" s="3"/>
      <c r="F68" s="1"/>
      <c r="G68" s="2"/>
      <c r="H68" s="2"/>
      <c r="I68" s="2"/>
      <c r="J68" s="2"/>
      <c r="K68" s="2"/>
    </row>
    <row r="69" spans="1:11" ht="15.75" customHeight="1">
      <c r="A69" s="1"/>
      <c r="B69" s="2"/>
      <c r="C69" s="2"/>
      <c r="D69" s="1"/>
      <c r="E69" s="3"/>
      <c r="F69" s="1"/>
      <c r="G69" s="2"/>
      <c r="H69" s="2"/>
      <c r="I69" s="2"/>
      <c r="J69" s="2"/>
      <c r="K69" s="2"/>
    </row>
    <row r="70" spans="1:11" ht="15.75" customHeight="1">
      <c r="A70" s="1"/>
      <c r="B70" s="2"/>
      <c r="C70" s="2"/>
      <c r="D70" s="1"/>
      <c r="E70" s="3"/>
      <c r="F70" s="1"/>
      <c r="G70" s="2"/>
      <c r="H70" s="2"/>
      <c r="I70" s="2"/>
      <c r="J70" s="2"/>
      <c r="K70" s="2"/>
    </row>
    <row r="71" spans="1:11" ht="15.75" customHeight="1">
      <c r="A71" s="1"/>
      <c r="B71" s="2"/>
      <c r="C71" s="2"/>
      <c r="D71" s="1"/>
      <c r="E71" s="3"/>
      <c r="F71" s="1"/>
      <c r="G71" s="2"/>
      <c r="H71" s="2"/>
      <c r="I71" s="2"/>
      <c r="J71" s="2"/>
      <c r="K71" s="2"/>
    </row>
    <row r="72" spans="1:11" ht="15.75" customHeight="1">
      <c r="A72" s="1"/>
      <c r="B72" s="2"/>
      <c r="C72" s="2"/>
      <c r="D72" s="1"/>
      <c r="E72" s="3"/>
      <c r="F72" s="1"/>
      <c r="G72" s="2"/>
      <c r="H72" s="2"/>
      <c r="I72" s="2"/>
      <c r="J72" s="2"/>
      <c r="K72" s="2"/>
    </row>
    <row r="73" spans="1:11" ht="15.75" customHeight="1">
      <c r="A73" s="1"/>
      <c r="B73" s="2"/>
      <c r="C73" s="2"/>
      <c r="D73" s="1"/>
      <c r="E73" s="3"/>
      <c r="F73" s="1"/>
      <c r="G73" s="2"/>
      <c r="H73" s="2"/>
      <c r="I73" s="2"/>
      <c r="J73" s="2"/>
      <c r="K73" s="2"/>
    </row>
    <row r="74" spans="1:11" ht="15.75" customHeight="1">
      <c r="A74" s="1"/>
      <c r="B74" s="2"/>
      <c r="C74" s="2"/>
      <c r="D74" s="1"/>
      <c r="E74" s="3"/>
      <c r="F74" s="1"/>
      <c r="G74" s="2"/>
      <c r="H74" s="2"/>
      <c r="I74" s="2"/>
      <c r="J74" s="2"/>
      <c r="K74" s="2"/>
    </row>
    <row r="75" spans="1:11" ht="15.75" customHeight="1">
      <c r="A75" s="1"/>
      <c r="B75" s="2"/>
      <c r="C75" s="2"/>
      <c r="D75" s="1"/>
      <c r="E75" s="3"/>
      <c r="F75" s="1"/>
      <c r="G75" s="2"/>
      <c r="H75" s="2"/>
      <c r="I75" s="2"/>
      <c r="J75" s="2"/>
      <c r="K75" s="2"/>
    </row>
    <row r="76" spans="1:11" ht="15.75" customHeight="1">
      <c r="A76" s="1"/>
      <c r="B76" s="2"/>
      <c r="C76" s="2"/>
      <c r="D76" s="1"/>
      <c r="E76" s="3"/>
      <c r="F76" s="1"/>
      <c r="G76" s="2"/>
      <c r="H76" s="2"/>
      <c r="I76" s="2"/>
      <c r="J76" s="2"/>
      <c r="K76" s="2"/>
    </row>
    <row r="77" spans="1:11" ht="15.75" customHeight="1">
      <c r="A77" s="1"/>
      <c r="B77" s="2"/>
      <c r="C77" s="2"/>
      <c r="D77" s="1"/>
      <c r="E77" s="3"/>
      <c r="F77" s="1"/>
      <c r="G77" s="2"/>
      <c r="H77" s="2"/>
      <c r="I77" s="2"/>
      <c r="J77" s="2"/>
      <c r="K77" s="2"/>
    </row>
    <row r="78" spans="1:11" ht="15.75" customHeight="1">
      <c r="A78" s="1"/>
      <c r="B78" s="2"/>
      <c r="C78" s="2"/>
      <c r="D78" s="1"/>
      <c r="E78" s="3"/>
      <c r="F78" s="1"/>
      <c r="G78" s="2"/>
      <c r="H78" s="2"/>
      <c r="I78" s="2"/>
      <c r="J78" s="2"/>
      <c r="K78" s="2"/>
    </row>
    <row r="79" spans="1:11" ht="15.75" customHeight="1">
      <c r="A79" s="1"/>
      <c r="B79" s="2"/>
      <c r="C79" s="2"/>
      <c r="D79" s="1"/>
      <c r="E79" s="3"/>
      <c r="F79" s="1"/>
      <c r="G79" s="2"/>
      <c r="H79" s="2"/>
      <c r="I79" s="2"/>
      <c r="J79" s="2"/>
      <c r="K79" s="2"/>
    </row>
    <row r="80" spans="1:11" ht="15.75" customHeight="1">
      <c r="A80" s="1"/>
      <c r="B80" s="2"/>
      <c r="C80" s="2"/>
      <c r="D80" s="1"/>
      <c r="E80" s="3"/>
      <c r="F80" s="1"/>
      <c r="G80" s="2"/>
      <c r="H80" s="2"/>
      <c r="I80" s="2"/>
      <c r="J80" s="2"/>
      <c r="K80" s="2"/>
    </row>
    <row r="81" spans="1:11" ht="15.75" customHeight="1">
      <c r="A81" s="1"/>
      <c r="B81" s="2"/>
      <c r="C81" s="2"/>
      <c r="D81" s="1"/>
      <c r="E81" s="3"/>
      <c r="F81" s="1"/>
      <c r="G81" s="2"/>
      <c r="H81" s="2"/>
      <c r="I81" s="2"/>
      <c r="J81" s="2"/>
      <c r="K81" s="2"/>
    </row>
    <row r="82" spans="1:11" ht="15.75" customHeight="1">
      <c r="A82" s="1"/>
      <c r="B82" s="2"/>
      <c r="C82" s="2"/>
      <c r="D82" s="1"/>
      <c r="E82" s="3"/>
      <c r="F82" s="1"/>
      <c r="G82" s="2"/>
      <c r="H82" s="2"/>
      <c r="I82" s="2"/>
      <c r="J82" s="2"/>
      <c r="K82" s="2"/>
    </row>
    <row r="83" spans="1:11" ht="15.75" customHeight="1">
      <c r="A83" s="1"/>
      <c r="B83" s="2"/>
      <c r="C83" s="2"/>
      <c r="D83" s="1"/>
      <c r="E83" s="3"/>
      <c r="F83" s="1"/>
      <c r="G83" s="2"/>
      <c r="H83" s="2"/>
      <c r="I83" s="2"/>
      <c r="J83" s="2"/>
      <c r="K83" s="2"/>
    </row>
    <row r="84" spans="1:11" ht="15.75" customHeight="1">
      <c r="A84" s="1"/>
      <c r="B84" s="2"/>
      <c r="C84" s="2"/>
      <c r="D84" s="1"/>
      <c r="E84" s="3"/>
      <c r="F84" s="1"/>
      <c r="G84" s="2"/>
      <c r="H84" s="2"/>
      <c r="I84" s="2"/>
      <c r="J84" s="2"/>
      <c r="K84" s="2"/>
    </row>
    <row r="85" spans="1:11" ht="15.75" customHeight="1">
      <c r="A85" s="1"/>
      <c r="B85" s="2"/>
      <c r="C85" s="2"/>
      <c r="D85" s="1"/>
      <c r="E85" s="3"/>
      <c r="F85" s="1"/>
      <c r="G85" s="2"/>
      <c r="H85" s="2"/>
      <c r="I85" s="2"/>
      <c r="J85" s="2"/>
      <c r="K85" s="2"/>
    </row>
    <row r="86" spans="1:11" ht="15.75" customHeight="1">
      <c r="A86" s="1"/>
      <c r="B86" s="2"/>
      <c r="C86" s="2"/>
      <c r="D86" s="1"/>
      <c r="E86" s="3"/>
      <c r="F86" s="1"/>
      <c r="G86" s="2"/>
      <c r="H86" s="2"/>
      <c r="I86" s="2"/>
      <c r="J86" s="2"/>
      <c r="K86" s="2"/>
    </row>
    <row r="87" spans="1:11" ht="15.75" customHeight="1">
      <c r="A87" s="1"/>
      <c r="B87" s="2"/>
      <c r="C87" s="2"/>
      <c r="D87" s="1"/>
      <c r="E87" s="3"/>
      <c r="F87" s="1"/>
      <c r="G87" s="2"/>
      <c r="H87" s="2"/>
      <c r="I87" s="2"/>
      <c r="J87" s="2"/>
      <c r="K87" s="2"/>
    </row>
    <row r="88" spans="1:11" ht="15.75" customHeight="1">
      <c r="A88" s="1"/>
      <c r="B88" s="2"/>
      <c r="C88" s="2"/>
      <c r="D88" s="1"/>
      <c r="E88" s="3"/>
      <c r="F88" s="1"/>
      <c r="G88" s="2"/>
      <c r="H88" s="2"/>
      <c r="I88" s="2"/>
      <c r="J88" s="2"/>
      <c r="K88" s="2"/>
    </row>
    <row r="89" spans="1:11" ht="15.75" customHeight="1">
      <c r="A89" s="1"/>
      <c r="B89" s="2"/>
      <c r="C89" s="2"/>
      <c r="D89" s="1"/>
      <c r="E89" s="3"/>
      <c r="F89" s="1"/>
      <c r="G89" s="2"/>
      <c r="H89" s="2"/>
      <c r="I89" s="2"/>
      <c r="J89" s="2"/>
      <c r="K89" s="2"/>
    </row>
    <row r="90" spans="1:11" ht="15.75" customHeight="1">
      <c r="A90" s="1"/>
      <c r="B90" s="2"/>
      <c r="C90" s="2"/>
      <c r="D90" s="1"/>
      <c r="E90" s="3"/>
      <c r="F90" s="1"/>
      <c r="G90" s="2"/>
      <c r="H90" s="2"/>
      <c r="I90" s="2"/>
      <c r="J90" s="2"/>
      <c r="K90" s="2"/>
    </row>
    <row r="91" spans="1:11" ht="15.75" customHeight="1">
      <c r="A91" s="1"/>
      <c r="B91" s="2"/>
      <c r="C91" s="2"/>
      <c r="D91" s="1"/>
      <c r="E91" s="3"/>
      <c r="F91" s="1"/>
      <c r="G91" s="2"/>
      <c r="H91" s="2"/>
      <c r="I91" s="2"/>
      <c r="J91" s="2"/>
      <c r="K91" s="2"/>
    </row>
    <row r="92" spans="1:11" ht="15.75" customHeight="1">
      <c r="A92" s="1"/>
      <c r="B92" s="2"/>
      <c r="C92" s="2"/>
      <c r="D92" s="1"/>
      <c r="E92" s="3"/>
      <c r="F92" s="1"/>
      <c r="G92" s="2"/>
      <c r="H92" s="2"/>
      <c r="I92" s="2"/>
      <c r="J92" s="2"/>
      <c r="K92" s="2"/>
    </row>
    <row r="93" spans="1:11" ht="15.75" customHeight="1">
      <c r="A93" s="1"/>
      <c r="B93" s="2"/>
      <c r="C93" s="2"/>
      <c r="D93" s="1"/>
      <c r="E93" s="3"/>
      <c r="F93" s="1"/>
      <c r="G93" s="2"/>
      <c r="H93" s="2"/>
      <c r="I93" s="2"/>
      <c r="J93" s="2"/>
      <c r="K93" s="2"/>
    </row>
    <row r="94" spans="1:11" ht="15.75" customHeight="1">
      <c r="A94" s="1"/>
      <c r="B94" s="2"/>
      <c r="C94" s="2"/>
      <c r="D94" s="1"/>
      <c r="E94" s="3"/>
      <c r="F94" s="1"/>
      <c r="G94" s="2"/>
      <c r="H94" s="2"/>
      <c r="I94" s="2"/>
      <c r="J94" s="2"/>
      <c r="K94" s="2"/>
    </row>
    <row r="95" spans="1:11" ht="15.75" customHeight="1">
      <c r="A95" s="1"/>
      <c r="B95" s="2"/>
      <c r="C95" s="2"/>
      <c r="D95" s="1"/>
      <c r="E95" s="3"/>
      <c r="F95" s="1"/>
      <c r="G95" s="2"/>
      <c r="H95" s="2"/>
      <c r="I95" s="2"/>
      <c r="J95" s="2"/>
      <c r="K95" s="2"/>
    </row>
    <row r="96" spans="1:11" ht="15.75" customHeight="1">
      <c r="A96" s="1"/>
      <c r="B96" s="2"/>
      <c r="C96" s="2"/>
      <c r="D96" s="1"/>
      <c r="E96" s="3"/>
      <c r="F96" s="1"/>
      <c r="G96" s="2"/>
      <c r="H96" s="2"/>
      <c r="I96" s="2"/>
      <c r="J96" s="2"/>
      <c r="K96" s="2"/>
    </row>
    <row r="97" spans="1:11" ht="15.75" customHeight="1">
      <c r="A97" s="1"/>
      <c r="B97" s="2"/>
      <c r="C97" s="2"/>
      <c r="D97" s="1"/>
      <c r="E97" s="3"/>
      <c r="F97" s="1"/>
      <c r="G97" s="2"/>
      <c r="H97" s="2"/>
      <c r="I97" s="2"/>
      <c r="J97" s="2"/>
      <c r="K97" s="2"/>
    </row>
    <row r="98" spans="1:11" ht="15.75" customHeight="1">
      <c r="A98" s="1"/>
      <c r="B98" s="2"/>
      <c r="C98" s="2"/>
      <c r="D98" s="1"/>
      <c r="E98" s="3"/>
      <c r="F98" s="1"/>
      <c r="G98" s="2"/>
      <c r="H98" s="2"/>
      <c r="I98" s="2"/>
      <c r="J98" s="2"/>
      <c r="K98" s="2"/>
    </row>
    <row r="99" spans="1:11" ht="15.75" customHeight="1">
      <c r="A99" s="1"/>
      <c r="B99" s="2"/>
      <c r="C99" s="2"/>
      <c r="D99" s="1"/>
      <c r="E99" s="3"/>
      <c r="F99" s="1"/>
      <c r="G99" s="2"/>
      <c r="H99" s="2"/>
      <c r="I99" s="2"/>
      <c r="J99" s="2"/>
      <c r="K99" s="2"/>
    </row>
    <row r="100" spans="1:11" ht="15.75" customHeight="1">
      <c r="A100" s="1"/>
      <c r="B100" s="2"/>
      <c r="C100" s="2"/>
      <c r="D100" s="1"/>
      <c r="E100" s="3"/>
      <c r="F100" s="1"/>
      <c r="G100" s="2"/>
      <c r="H100" s="2"/>
      <c r="I100" s="2"/>
      <c r="J100" s="2"/>
      <c r="K100" s="2"/>
    </row>
    <row r="101" spans="1:1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mergeCells count="1">
    <mergeCell ref="A2:G2"/>
  </mergeCells>
  <phoneticPr fontId="51" type="noConversion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/>
  </sheetViews>
  <sheetFormatPr defaultColWidth="11.125" defaultRowHeight="15" customHeight="1"/>
  <cols>
    <col min="1" max="1" width="8.125" customWidth="1"/>
    <col min="2" max="2" width="7.875" customWidth="1"/>
    <col min="3" max="3" width="5.875" customWidth="1"/>
    <col min="4" max="4" width="7.875" customWidth="1"/>
    <col min="5" max="5" width="8.375" customWidth="1"/>
    <col min="6" max="6" width="5.625" customWidth="1"/>
    <col min="7" max="7" width="7.375" customWidth="1"/>
    <col min="8" max="26" width="9.875" customWidth="1"/>
  </cols>
  <sheetData>
    <row r="1" spans="1:11" ht="19.5" customHeight="1">
      <c r="A1" s="192" t="s">
        <v>14</v>
      </c>
      <c r="B1" s="189"/>
      <c r="C1" s="189"/>
      <c r="D1" s="189"/>
      <c r="E1" s="189"/>
      <c r="F1" s="189"/>
      <c r="G1" s="190"/>
      <c r="H1" s="10"/>
      <c r="I1" s="10"/>
      <c r="J1" s="10"/>
      <c r="K1" s="10"/>
    </row>
    <row r="2" spans="1:11" ht="37.5" customHeight="1">
      <c r="A2" s="11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7</v>
      </c>
      <c r="H2" s="10"/>
      <c r="I2" s="10"/>
      <c r="J2" s="10"/>
      <c r="K2" s="10"/>
    </row>
    <row r="3" spans="1:11" ht="27" customHeight="1">
      <c r="A3" s="193"/>
      <c r="B3" s="194"/>
      <c r="C3" s="195"/>
      <c r="D3" s="195"/>
      <c r="E3" s="195"/>
      <c r="F3" s="195"/>
      <c r="G3" s="13" t="s">
        <v>21</v>
      </c>
      <c r="H3" s="10"/>
      <c r="I3" s="10"/>
      <c r="J3" s="10"/>
      <c r="K3" s="10"/>
    </row>
    <row r="4" spans="1:11" ht="27" customHeight="1">
      <c r="A4" s="186"/>
      <c r="B4" s="186"/>
      <c r="C4" s="186"/>
      <c r="D4" s="186"/>
      <c r="E4" s="186"/>
      <c r="F4" s="186"/>
      <c r="G4" s="13" t="s">
        <v>22</v>
      </c>
      <c r="H4" s="10"/>
      <c r="I4" s="10"/>
      <c r="J4" s="10"/>
      <c r="K4" s="10"/>
    </row>
    <row r="5" spans="1:11" ht="16.5" customHeight="1">
      <c r="A5" s="186"/>
      <c r="B5" s="186"/>
      <c r="C5" s="186"/>
      <c r="D5" s="186"/>
      <c r="E5" s="186"/>
      <c r="F5" s="186"/>
      <c r="G5" s="13" t="s">
        <v>23</v>
      </c>
      <c r="H5" s="10"/>
      <c r="I5" s="10"/>
      <c r="J5" s="10"/>
      <c r="K5" s="10"/>
    </row>
    <row r="6" spans="1:11" ht="16.5" customHeight="1">
      <c r="A6" s="187"/>
      <c r="B6" s="187"/>
      <c r="C6" s="187"/>
      <c r="D6" s="187"/>
      <c r="E6" s="187"/>
      <c r="F6" s="187"/>
      <c r="G6" s="14" t="s">
        <v>24</v>
      </c>
      <c r="H6" s="10"/>
      <c r="I6" s="10"/>
      <c r="J6" s="10"/>
      <c r="K6" s="10"/>
    </row>
    <row r="7" spans="1:11" ht="27" customHeight="1">
      <c r="A7" s="191"/>
      <c r="B7" s="185"/>
      <c r="C7" s="185"/>
      <c r="D7" s="185"/>
      <c r="E7" s="185"/>
      <c r="F7" s="185"/>
      <c r="G7" s="13" t="s">
        <v>21</v>
      </c>
      <c r="H7" s="10"/>
      <c r="I7" s="10"/>
      <c r="J7" s="10"/>
      <c r="K7" s="10"/>
    </row>
    <row r="8" spans="1:11" ht="27" customHeight="1">
      <c r="A8" s="186"/>
      <c r="B8" s="186"/>
      <c r="C8" s="186"/>
      <c r="D8" s="186"/>
      <c r="E8" s="186"/>
      <c r="F8" s="186"/>
      <c r="G8" s="13" t="s">
        <v>22</v>
      </c>
      <c r="H8" s="10"/>
      <c r="I8" s="10"/>
      <c r="J8" s="10"/>
      <c r="K8" s="10"/>
    </row>
    <row r="9" spans="1:11" ht="16.5" customHeight="1">
      <c r="A9" s="186"/>
      <c r="B9" s="186"/>
      <c r="C9" s="186"/>
      <c r="D9" s="186"/>
      <c r="E9" s="186"/>
      <c r="F9" s="186"/>
      <c r="G9" s="13" t="s">
        <v>23</v>
      </c>
      <c r="H9" s="10"/>
      <c r="I9" s="10"/>
      <c r="J9" s="10"/>
      <c r="K9" s="10"/>
    </row>
    <row r="10" spans="1:11" ht="16.5" customHeight="1">
      <c r="A10" s="187"/>
      <c r="B10" s="187"/>
      <c r="C10" s="187"/>
      <c r="D10" s="187"/>
      <c r="E10" s="187"/>
      <c r="F10" s="187"/>
      <c r="G10" s="15" t="s">
        <v>25</v>
      </c>
      <c r="H10" s="10"/>
      <c r="I10" s="10"/>
      <c r="J10" s="10"/>
      <c r="K10" s="10"/>
    </row>
    <row r="11" spans="1:11" ht="27" customHeight="1">
      <c r="A11" s="191"/>
      <c r="B11" s="185"/>
      <c r="C11" s="185"/>
      <c r="D11" s="185"/>
      <c r="E11" s="185"/>
      <c r="F11" s="185"/>
      <c r="G11" s="13" t="s">
        <v>21</v>
      </c>
      <c r="H11" s="10"/>
      <c r="I11" s="10"/>
      <c r="J11" s="10"/>
      <c r="K11" s="10"/>
    </row>
    <row r="12" spans="1:11" ht="27" customHeight="1">
      <c r="A12" s="186"/>
      <c r="B12" s="186"/>
      <c r="C12" s="186"/>
      <c r="D12" s="186"/>
      <c r="E12" s="186"/>
      <c r="F12" s="186"/>
      <c r="G12" s="16" t="s">
        <v>26</v>
      </c>
      <c r="H12" s="10"/>
      <c r="I12" s="10"/>
      <c r="J12" s="10"/>
      <c r="K12" s="10"/>
    </row>
    <row r="13" spans="1:11" ht="16.5" customHeight="1">
      <c r="A13" s="186"/>
      <c r="B13" s="186"/>
      <c r="C13" s="186"/>
      <c r="D13" s="186"/>
      <c r="E13" s="186"/>
      <c r="F13" s="186"/>
      <c r="G13" s="13" t="s">
        <v>23</v>
      </c>
      <c r="H13" s="10"/>
      <c r="I13" s="10"/>
      <c r="J13" s="10"/>
      <c r="K13" s="10"/>
    </row>
    <row r="14" spans="1:11" ht="16.5" customHeight="1">
      <c r="A14" s="187"/>
      <c r="B14" s="187"/>
      <c r="C14" s="187"/>
      <c r="D14" s="187"/>
      <c r="E14" s="187"/>
      <c r="F14" s="187"/>
      <c r="G14" s="14" t="s">
        <v>24</v>
      </c>
      <c r="H14" s="10"/>
      <c r="I14" s="10"/>
      <c r="J14" s="10"/>
      <c r="K14" s="10"/>
    </row>
    <row r="15" spans="1:11" ht="27" customHeight="1">
      <c r="A15" s="191"/>
      <c r="B15" s="191"/>
      <c r="C15" s="191"/>
      <c r="D15" s="191"/>
      <c r="E15" s="191"/>
      <c r="F15" s="185"/>
      <c r="G15" s="13" t="s">
        <v>21</v>
      </c>
      <c r="H15" s="10"/>
      <c r="I15" s="10"/>
      <c r="J15" s="10"/>
      <c r="K15" s="10"/>
    </row>
    <row r="16" spans="1:11" ht="27" customHeight="1">
      <c r="A16" s="186"/>
      <c r="B16" s="186"/>
      <c r="C16" s="186"/>
      <c r="D16" s="186"/>
      <c r="E16" s="186"/>
      <c r="F16" s="186"/>
      <c r="G16" s="16" t="s">
        <v>26</v>
      </c>
      <c r="H16" s="10"/>
      <c r="I16" s="10"/>
      <c r="J16" s="10"/>
      <c r="K16" s="10"/>
    </row>
    <row r="17" spans="1:11" ht="16.5" customHeight="1">
      <c r="A17" s="186"/>
      <c r="B17" s="186"/>
      <c r="C17" s="186"/>
      <c r="D17" s="186"/>
      <c r="E17" s="186"/>
      <c r="F17" s="186"/>
      <c r="G17" s="13" t="s">
        <v>23</v>
      </c>
      <c r="H17" s="10"/>
      <c r="I17" s="10"/>
      <c r="J17" s="10"/>
      <c r="K17" s="10"/>
    </row>
    <row r="18" spans="1:11" ht="16.5" customHeight="1">
      <c r="A18" s="187"/>
      <c r="B18" s="187"/>
      <c r="C18" s="187"/>
      <c r="D18" s="187"/>
      <c r="E18" s="187"/>
      <c r="F18" s="187"/>
      <c r="G18" s="14" t="s">
        <v>24</v>
      </c>
      <c r="H18" s="10"/>
      <c r="I18" s="10"/>
      <c r="J18" s="10"/>
      <c r="K18" s="10"/>
    </row>
    <row r="19" spans="1:11" ht="27" customHeight="1">
      <c r="A19" s="191"/>
      <c r="B19" s="191"/>
      <c r="C19" s="191"/>
      <c r="D19" s="191"/>
      <c r="E19" s="191"/>
      <c r="F19" s="185"/>
      <c r="G19" s="13" t="s">
        <v>21</v>
      </c>
      <c r="H19" s="10"/>
      <c r="I19" s="10"/>
      <c r="J19" s="10"/>
      <c r="K19" s="10"/>
    </row>
    <row r="20" spans="1:11" ht="27" customHeight="1">
      <c r="A20" s="186"/>
      <c r="B20" s="186"/>
      <c r="C20" s="186"/>
      <c r="D20" s="186"/>
      <c r="E20" s="186"/>
      <c r="F20" s="186"/>
      <c r="G20" s="13" t="s">
        <v>22</v>
      </c>
      <c r="H20" s="10"/>
      <c r="I20" s="10"/>
      <c r="J20" s="10"/>
      <c r="K20" s="10"/>
    </row>
    <row r="21" spans="1:11" ht="15.75" customHeight="1">
      <c r="A21" s="186"/>
      <c r="B21" s="186"/>
      <c r="C21" s="186"/>
      <c r="D21" s="186"/>
      <c r="E21" s="186"/>
      <c r="F21" s="186"/>
      <c r="G21" s="13" t="s">
        <v>23</v>
      </c>
      <c r="H21" s="10"/>
      <c r="I21" s="10"/>
      <c r="J21" s="10"/>
      <c r="K21" s="10"/>
    </row>
    <row r="22" spans="1:11" ht="15.75" customHeight="1">
      <c r="A22" s="187"/>
      <c r="B22" s="187"/>
      <c r="C22" s="187"/>
      <c r="D22" s="187"/>
      <c r="E22" s="187"/>
      <c r="F22" s="187"/>
      <c r="G22" s="14" t="s">
        <v>24</v>
      </c>
      <c r="H22" s="10"/>
      <c r="I22" s="10"/>
      <c r="J22" s="10"/>
      <c r="K22" s="10"/>
    </row>
    <row r="23" spans="1:11" ht="15.75" customHeight="1">
      <c r="A23" s="191"/>
      <c r="B23" s="191"/>
      <c r="C23" s="191"/>
      <c r="D23" s="191"/>
      <c r="E23" s="191"/>
      <c r="F23" s="185"/>
      <c r="G23" s="13" t="s">
        <v>21</v>
      </c>
      <c r="H23" s="10"/>
      <c r="I23" s="10"/>
      <c r="J23" s="10"/>
      <c r="K23" s="10"/>
    </row>
    <row r="24" spans="1:11" ht="15.75" customHeight="1">
      <c r="A24" s="186"/>
      <c r="B24" s="186"/>
      <c r="C24" s="186"/>
      <c r="D24" s="186"/>
      <c r="E24" s="186"/>
      <c r="F24" s="186"/>
      <c r="G24" s="13" t="s">
        <v>22</v>
      </c>
      <c r="H24" s="10"/>
      <c r="I24" s="10"/>
      <c r="J24" s="10"/>
      <c r="K24" s="10"/>
    </row>
    <row r="25" spans="1:11" ht="15.75" customHeight="1">
      <c r="A25" s="186"/>
      <c r="B25" s="186"/>
      <c r="C25" s="186"/>
      <c r="D25" s="186"/>
      <c r="E25" s="186"/>
      <c r="F25" s="186"/>
      <c r="G25" s="13" t="s">
        <v>23</v>
      </c>
      <c r="H25" s="10"/>
      <c r="I25" s="10"/>
      <c r="J25" s="10"/>
      <c r="K25" s="10"/>
    </row>
    <row r="26" spans="1:11" ht="15.75" customHeight="1">
      <c r="A26" s="187"/>
      <c r="B26" s="187"/>
      <c r="C26" s="187"/>
      <c r="D26" s="187"/>
      <c r="E26" s="187"/>
      <c r="F26" s="187"/>
      <c r="G26" s="14" t="s">
        <v>24</v>
      </c>
      <c r="H26" s="10"/>
      <c r="I26" s="10"/>
      <c r="J26" s="10"/>
      <c r="K26" s="10"/>
    </row>
    <row r="27" spans="1:11" ht="15.75" customHeight="1">
      <c r="A27" s="191"/>
      <c r="B27" s="191"/>
      <c r="C27" s="191"/>
      <c r="D27" s="191"/>
      <c r="E27" s="191"/>
      <c r="F27" s="185"/>
      <c r="G27" s="13" t="s">
        <v>21</v>
      </c>
      <c r="H27" s="10"/>
      <c r="I27" s="10"/>
      <c r="J27" s="10"/>
      <c r="K27" s="10"/>
    </row>
    <row r="28" spans="1:11" ht="15.75" customHeight="1">
      <c r="A28" s="186"/>
      <c r="B28" s="186"/>
      <c r="C28" s="186"/>
      <c r="D28" s="186"/>
      <c r="E28" s="186"/>
      <c r="F28" s="186"/>
      <c r="G28" s="13" t="s">
        <v>22</v>
      </c>
      <c r="H28" s="10"/>
      <c r="I28" s="10"/>
      <c r="J28" s="10"/>
      <c r="K28" s="10"/>
    </row>
    <row r="29" spans="1:11" ht="15.75" customHeight="1">
      <c r="A29" s="186"/>
      <c r="B29" s="186"/>
      <c r="C29" s="186"/>
      <c r="D29" s="186"/>
      <c r="E29" s="186"/>
      <c r="F29" s="186"/>
      <c r="G29" s="13" t="s">
        <v>23</v>
      </c>
      <c r="H29" s="10"/>
      <c r="I29" s="10"/>
      <c r="J29" s="10"/>
      <c r="K29" s="10"/>
    </row>
    <row r="30" spans="1:11" ht="15.75" customHeight="1">
      <c r="A30" s="187"/>
      <c r="B30" s="187"/>
      <c r="C30" s="187"/>
      <c r="D30" s="187"/>
      <c r="E30" s="187"/>
      <c r="F30" s="187"/>
      <c r="G30" s="14" t="s">
        <v>24</v>
      </c>
      <c r="H30" s="10"/>
      <c r="I30" s="10"/>
      <c r="J30" s="10"/>
      <c r="K30" s="10"/>
    </row>
    <row r="31" spans="1:11" ht="15.75" customHeight="1">
      <c r="A31" s="191"/>
      <c r="B31" s="191"/>
      <c r="C31" s="191"/>
      <c r="D31" s="191"/>
      <c r="E31" s="191"/>
      <c r="F31" s="185"/>
      <c r="G31" s="13" t="s">
        <v>21</v>
      </c>
      <c r="H31" s="10"/>
      <c r="I31" s="10"/>
      <c r="J31" s="10"/>
      <c r="K31" s="10"/>
    </row>
    <row r="32" spans="1:11" ht="15.75" customHeight="1">
      <c r="A32" s="186"/>
      <c r="B32" s="186"/>
      <c r="C32" s="186"/>
      <c r="D32" s="186"/>
      <c r="E32" s="186"/>
      <c r="F32" s="186"/>
      <c r="G32" s="13" t="s">
        <v>22</v>
      </c>
      <c r="H32" s="10"/>
      <c r="I32" s="10"/>
      <c r="J32" s="10"/>
      <c r="K32" s="10"/>
    </row>
    <row r="33" spans="1:11" ht="15.75" customHeight="1">
      <c r="A33" s="186"/>
      <c r="B33" s="186"/>
      <c r="C33" s="186"/>
      <c r="D33" s="186"/>
      <c r="E33" s="186"/>
      <c r="F33" s="186"/>
      <c r="G33" s="13" t="s">
        <v>23</v>
      </c>
      <c r="H33" s="10"/>
      <c r="I33" s="10"/>
      <c r="J33" s="10"/>
      <c r="K33" s="10"/>
    </row>
    <row r="34" spans="1:11" ht="15.75" customHeight="1">
      <c r="A34" s="187"/>
      <c r="B34" s="187"/>
      <c r="C34" s="187"/>
      <c r="D34" s="187"/>
      <c r="E34" s="187"/>
      <c r="F34" s="187"/>
      <c r="G34" s="14" t="s">
        <v>24</v>
      </c>
      <c r="H34" s="10"/>
      <c r="I34" s="10"/>
      <c r="J34" s="10"/>
      <c r="K34" s="10"/>
    </row>
    <row r="35" spans="1:11" ht="15.75" customHeight="1">
      <c r="A35" s="188" t="s">
        <v>27</v>
      </c>
      <c r="B35" s="189"/>
      <c r="C35" s="189"/>
      <c r="D35" s="189"/>
      <c r="E35" s="189"/>
      <c r="F35" s="189"/>
      <c r="G35" s="190"/>
      <c r="H35" s="10"/>
      <c r="I35" s="10"/>
      <c r="J35" s="10"/>
      <c r="K35" s="10"/>
    </row>
    <row r="36" spans="1:11" ht="15.75" customHeight="1">
      <c r="A36" s="188" t="s">
        <v>28</v>
      </c>
      <c r="B36" s="189"/>
      <c r="C36" s="189"/>
      <c r="D36" s="189"/>
      <c r="E36" s="189"/>
      <c r="F36" s="189"/>
      <c r="G36" s="190"/>
      <c r="H36" s="10"/>
      <c r="I36" s="10"/>
      <c r="J36" s="10"/>
      <c r="K36" s="10"/>
    </row>
    <row r="37" spans="1:11" ht="15.75" customHeight="1">
      <c r="A37" s="17" t="s">
        <v>29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  <row r="219" spans="1:11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</row>
    <row r="220" spans="1:11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</row>
    <row r="221" spans="1:1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</row>
    <row r="222" spans="1:11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</row>
    <row r="223" spans="1:11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</row>
    <row r="224" spans="1:11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</row>
    <row r="225" spans="1:11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</row>
    <row r="226" spans="1:11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</row>
    <row r="228" spans="1:11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</row>
    <row r="229" spans="1:11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</row>
    <row r="230" spans="1:11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</row>
    <row r="231" spans="1:1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</row>
    <row r="232" spans="1:11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</row>
    <row r="233" spans="1:11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</row>
    <row r="234" spans="1:11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</row>
    <row r="235" spans="1:11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</row>
    <row r="236" spans="1:11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</row>
    <row r="237" spans="1:11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</row>
    <row r="238" spans="1:11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</row>
    <row r="239" spans="1:11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</row>
    <row r="240" spans="1:11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</row>
    <row r="241" spans="1:1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</row>
    <row r="242" spans="1:11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</row>
    <row r="243" spans="1:11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</row>
    <row r="244" spans="1:11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</row>
    <row r="245" spans="1:11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</row>
    <row r="246" spans="1:11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</row>
    <row r="247" spans="1:11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</row>
    <row r="248" spans="1:11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</row>
    <row r="257" spans="1:11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</row>
    <row r="258" spans="1:11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</row>
    <row r="260" spans="1:11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</row>
    <row r="261" spans="1:1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</row>
    <row r="262" spans="1:11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</row>
    <row r="263" spans="1:11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</row>
    <row r="264" spans="1:11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</row>
    <row r="265" spans="1:11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</row>
    <row r="267" spans="1:11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</row>
    <row r="268" spans="1:11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</row>
    <row r="269" spans="1:11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</row>
    <row r="270" spans="1:11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</row>
    <row r="271" spans="1:1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</row>
    <row r="272" spans="1:11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</row>
    <row r="273" spans="1:11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</row>
    <row r="274" spans="1:11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</row>
    <row r="275" spans="1:11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</row>
    <row r="277" spans="1:11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</row>
    <row r="278" spans="1:11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</row>
    <row r="279" spans="1:11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</row>
    <row r="280" spans="1:11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</row>
    <row r="281" spans="1:1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</row>
    <row r="282" spans="1:11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</row>
    <row r="283" spans="1:11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</row>
    <row r="284" spans="1:11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</row>
    <row r="285" spans="1:11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</row>
    <row r="286" spans="1:11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</row>
    <row r="287" spans="1:11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</row>
    <row r="288" spans="1:11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</row>
    <row r="289" spans="1:11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</row>
    <row r="290" spans="1:11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</row>
    <row r="291" spans="1:1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</row>
    <row r="292" spans="1:11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</row>
    <row r="293" spans="1:11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</row>
    <row r="294" spans="1:11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</row>
    <row r="295" spans="1:11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</row>
    <row r="296" spans="1:11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</row>
    <row r="297" spans="1:11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</row>
    <row r="298" spans="1:11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</row>
    <row r="299" spans="1:11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</row>
    <row r="308" spans="1:11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</row>
    <row r="309" spans="1:11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</row>
    <row r="311" spans="1: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</row>
    <row r="312" spans="1:11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</row>
    <row r="313" spans="1:11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</row>
    <row r="314" spans="1:11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</row>
    <row r="315" spans="1:11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</row>
    <row r="316" spans="1:11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</row>
    <row r="318" spans="1:11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</row>
    <row r="319" spans="1:11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</row>
    <row r="320" spans="1:11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</row>
    <row r="321" spans="1:1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</row>
    <row r="322" spans="1:11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</row>
    <row r="323" spans="1:11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</row>
    <row r="324" spans="1:11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</row>
    <row r="325" spans="1:11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</row>
    <row r="326" spans="1:11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</row>
    <row r="328" spans="1:11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</row>
    <row r="329" spans="1:11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</row>
    <row r="330" spans="1:11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</row>
    <row r="331" spans="1:1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</row>
    <row r="332" spans="1:11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</row>
    <row r="333" spans="1:11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1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1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</row>
    <row r="336" spans="1:11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1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1:11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</row>
    <row r="340" spans="1:11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</row>
    <row r="342" spans="1:11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</row>
    <row r="343" spans="1:11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</row>
    <row r="344" spans="1:11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</row>
    <row r="345" spans="1:11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</row>
    <row r="346" spans="1:11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</row>
    <row r="347" spans="1:11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</row>
    <row r="348" spans="1:11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</row>
    <row r="349" spans="1:11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</row>
    <row r="350" spans="1:11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</row>
    <row r="359" spans="1:11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</row>
    <row r="362" spans="1:11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</row>
    <row r="363" spans="1:11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</row>
    <row r="364" spans="1:11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</row>
    <row r="365" spans="1:11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</row>
    <row r="367" spans="1:11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</row>
    <row r="369" spans="1:11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</row>
    <row r="370" spans="1:11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</row>
    <row r="371" spans="1:1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</row>
    <row r="372" spans="1:11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</row>
    <row r="373" spans="1:11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</row>
    <row r="374" spans="1:11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</row>
    <row r="375" spans="1:11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</row>
    <row r="376" spans="1:11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</row>
    <row r="377" spans="1:11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</row>
    <row r="379" spans="1:11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</row>
    <row r="380" spans="1:11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</row>
    <row r="381" spans="1:1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</row>
    <row r="382" spans="1:11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</row>
    <row r="383" spans="1:11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</row>
    <row r="384" spans="1:11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</row>
    <row r="385" spans="1:11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</row>
    <row r="386" spans="1:11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</row>
    <row r="387" spans="1:11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</row>
    <row r="388" spans="1:11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</row>
    <row r="389" spans="1:11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</row>
    <row r="390" spans="1:11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</row>
    <row r="391" spans="1:1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</row>
    <row r="392" spans="1:11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</row>
    <row r="393" spans="1:11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</row>
    <row r="394" spans="1:11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</row>
    <row r="395" spans="1:11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</row>
    <row r="396" spans="1:11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</row>
    <row r="397" spans="1:11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</row>
    <row r="398" spans="1:11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</row>
    <row r="399" spans="1:11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</row>
    <row r="400" spans="1:11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</row>
    <row r="401" spans="1:1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</row>
    <row r="410" spans="1:11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1: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</row>
    <row r="413" spans="1:11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</row>
    <row r="414" spans="1:11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</row>
    <row r="415" spans="1:11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</row>
    <row r="416" spans="1:11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</row>
    <row r="418" spans="1:11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</row>
    <row r="419" spans="1:11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</row>
    <row r="421" spans="1:1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</row>
    <row r="422" spans="1:11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</row>
    <row r="423" spans="1:11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</row>
    <row r="424" spans="1:11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</row>
    <row r="426" spans="1:11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</row>
    <row r="428" spans="1:11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</row>
    <row r="430" spans="1:11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</row>
    <row r="431" spans="1:1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</row>
    <row r="432" spans="1:11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</row>
    <row r="433" spans="1:11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</row>
    <row r="434" spans="1:11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</row>
    <row r="435" spans="1:11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</row>
    <row r="436" spans="1:11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</row>
    <row r="437" spans="1:11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</row>
    <row r="438" spans="1:11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</row>
    <row r="439" spans="1:11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</row>
    <row r="440" spans="1:11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</row>
    <row r="441" spans="1:1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</row>
    <row r="442" spans="1:11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</row>
    <row r="443" spans="1:11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</row>
    <row r="444" spans="1:11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</row>
    <row r="445" spans="1:11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</row>
    <row r="446" spans="1:11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</row>
    <row r="447" spans="1:11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</row>
    <row r="448" spans="1:11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</row>
    <row r="449" spans="1:11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</row>
    <row r="450" spans="1:11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</row>
    <row r="451" spans="1:1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</row>
    <row r="452" spans="1:11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</row>
    <row r="453" spans="1:11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</row>
    <row r="454" spans="1:11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</row>
    <row r="455" spans="1:11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</row>
    <row r="456" spans="1:11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</row>
    <row r="457" spans="1:11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</row>
    <row r="458" spans="1:11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</row>
    <row r="459" spans="1:11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</row>
    <row r="460" spans="1:11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</row>
    <row r="461" spans="1:1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</row>
    <row r="462" spans="1:11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</row>
    <row r="463" spans="1:11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</row>
    <row r="464" spans="1:11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</row>
    <row r="465" spans="1:11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</row>
    <row r="466" spans="1:11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</row>
    <row r="467" spans="1:11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</row>
    <row r="468" spans="1:11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</row>
    <row r="469" spans="1:11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</row>
    <row r="470" spans="1:11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</row>
    <row r="471" spans="1:1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</row>
    <row r="472" spans="1:11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</row>
    <row r="473" spans="1:11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</row>
    <row r="474" spans="1:11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</row>
    <row r="475" spans="1:11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</row>
    <row r="476" spans="1:11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</row>
    <row r="477" spans="1:11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</row>
    <row r="478" spans="1:11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</row>
    <row r="480" spans="1:11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</row>
    <row r="481" spans="1:1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</row>
    <row r="482" spans="1:11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</row>
    <row r="483" spans="1:11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</row>
    <row r="484" spans="1:11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</row>
    <row r="485" spans="1:11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</row>
    <row r="486" spans="1:11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</row>
    <row r="487" spans="1:11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</row>
    <row r="488" spans="1:11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</row>
    <row r="489" spans="1:11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</row>
    <row r="490" spans="1:11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</row>
    <row r="491" spans="1:1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</row>
    <row r="492" spans="1:11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</row>
    <row r="493" spans="1:11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</row>
    <row r="494" spans="1:11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</row>
    <row r="495" spans="1:11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</row>
    <row r="496" spans="1:11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</row>
    <row r="497" spans="1:11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</row>
    <row r="498" spans="1:11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</row>
    <row r="499" spans="1:11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</row>
    <row r="500" spans="1:11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</row>
    <row r="501" spans="1:1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</row>
    <row r="502" spans="1:11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</row>
    <row r="503" spans="1:11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</row>
    <row r="504" spans="1:11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</row>
    <row r="505" spans="1:11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</row>
    <row r="506" spans="1:11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</row>
    <row r="507" spans="1:11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</row>
    <row r="508" spans="1:11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</row>
    <row r="509" spans="1:11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</row>
    <row r="510" spans="1:11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</row>
    <row r="511" spans="1: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</row>
    <row r="512" spans="1:11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</row>
    <row r="513" spans="1:11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</row>
    <row r="514" spans="1:11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</row>
    <row r="515" spans="1:11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</row>
    <row r="516" spans="1:11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</row>
    <row r="517" spans="1:11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</row>
    <row r="518" spans="1:11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</row>
    <row r="519" spans="1:11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</row>
    <row r="520" spans="1:11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</row>
    <row r="521" spans="1:1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</row>
    <row r="522" spans="1:11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</row>
    <row r="523" spans="1:11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</row>
    <row r="524" spans="1:11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</row>
    <row r="525" spans="1:11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</row>
    <row r="526" spans="1:11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</row>
    <row r="527" spans="1:11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</row>
    <row r="528" spans="1:11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</row>
    <row r="529" spans="1:11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</row>
    <row r="530" spans="1:11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</row>
    <row r="531" spans="1:1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</row>
    <row r="532" spans="1:11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</row>
    <row r="533" spans="1:11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</row>
    <row r="534" spans="1:11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</row>
    <row r="535" spans="1:11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</row>
    <row r="536" spans="1:11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</row>
    <row r="537" spans="1:11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</row>
    <row r="538" spans="1:11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</row>
    <row r="539" spans="1:11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</row>
    <row r="540" spans="1:11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</row>
    <row r="541" spans="1:1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</row>
    <row r="542" spans="1:11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</row>
    <row r="543" spans="1:11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</row>
    <row r="544" spans="1:11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</row>
    <row r="545" spans="1:11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</row>
    <row r="546" spans="1:11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</row>
    <row r="547" spans="1:11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</row>
    <row r="548" spans="1:11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</row>
    <row r="549" spans="1:11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</row>
    <row r="550" spans="1:11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</row>
    <row r="551" spans="1:1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</row>
    <row r="552" spans="1:11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</row>
    <row r="553" spans="1:11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</row>
    <row r="554" spans="1:11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</row>
    <row r="555" spans="1:11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</row>
    <row r="556" spans="1:11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</row>
    <row r="557" spans="1:11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</row>
    <row r="558" spans="1:11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</row>
    <row r="559" spans="1:11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</row>
    <row r="560" spans="1:11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</row>
    <row r="561" spans="1:1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</row>
    <row r="562" spans="1:11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</row>
    <row r="563" spans="1:11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</row>
    <row r="564" spans="1:11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</row>
    <row r="565" spans="1:11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</row>
    <row r="566" spans="1:11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</row>
    <row r="567" spans="1:11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</row>
    <row r="568" spans="1:11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</row>
    <row r="569" spans="1:11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</row>
    <row r="570" spans="1:11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</row>
    <row r="571" spans="1:1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</row>
    <row r="572" spans="1:11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</row>
    <row r="573" spans="1:11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</row>
    <row r="574" spans="1:11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</row>
    <row r="575" spans="1:11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</row>
    <row r="576" spans="1:11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</row>
    <row r="577" spans="1:11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</row>
    <row r="578" spans="1:11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</row>
    <row r="579" spans="1:11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</row>
    <row r="580" spans="1:11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</row>
    <row r="581" spans="1:1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</row>
    <row r="582" spans="1:11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</row>
    <row r="583" spans="1:11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</row>
    <row r="584" spans="1:11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</row>
    <row r="585" spans="1:11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</row>
    <row r="586" spans="1:11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</row>
    <row r="588" spans="1:11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</row>
    <row r="589" spans="1:11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</row>
    <row r="590" spans="1:11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</row>
    <row r="591" spans="1:1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</row>
    <row r="592" spans="1:11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</row>
    <row r="593" spans="1:11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</row>
    <row r="594" spans="1:11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</row>
    <row r="595" spans="1:11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</row>
    <row r="596" spans="1:11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</row>
    <row r="597" spans="1:11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</row>
    <row r="598" spans="1:11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</row>
    <row r="599" spans="1:11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</row>
    <row r="600" spans="1:11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</row>
    <row r="601" spans="1:1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</row>
    <row r="602" spans="1:11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</row>
    <row r="603" spans="1:11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</row>
    <row r="604" spans="1:11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</row>
    <row r="605" spans="1:11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</row>
    <row r="606" spans="1:11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</row>
    <row r="607" spans="1:11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</row>
    <row r="608" spans="1:11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</row>
    <row r="609" spans="1:11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</row>
    <row r="610" spans="1:11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</row>
    <row r="612" spans="1:11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</row>
    <row r="613" spans="1:11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</row>
    <row r="614" spans="1:11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</row>
    <row r="615" spans="1:11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</row>
    <row r="616" spans="1:11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</row>
    <row r="617" spans="1:11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</row>
    <row r="618" spans="1:11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</row>
    <row r="619" spans="1:11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</row>
    <row r="620" spans="1:11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</row>
    <row r="621" spans="1:1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</row>
    <row r="622" spans="1:11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</row>
    <row r="623" spans="1:11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</row>
    <row r="624" spans="1:11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</row>
    <row r="625" spans="1:11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</row>
    <row r="626" spans="1:11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</row>
    <row r="627" spans="1:11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</row>
    <row r="628" spans="1:11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</row>
    <row r="629" spans="1:11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</row>
    <row r="630" spans="1:11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</row>
    <row r="631" spans="1:1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</row>
    <row r="632" spans="1:11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</row>
    <row r="633" spans="1:11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</row>
    <row r="634" spans="1:11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</row>
    <row r="635" spans="1:11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</row>
    <row r="636" spans="1:11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</row>
    <row r="637" spans="1:11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</row>
    <row r="638" spans="1:11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</row>
    <row r="639" spans="1:11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</row>
    <row r="640" spans="1:11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</row>
    <row r="641" spans="1:1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</row>
    <row r="642" spans="1:11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</row>
    <row r="643" spans="1:11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</row>
    <row r="644" spans="1:11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</row>
    <row r="645" spans="1:11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</row>
    <row r="646" spans="1:11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</row>
    <row r="647" spans="1:11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</row>
    <row r="648" spans="1:11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</row>
    <row r="649" spans="1:11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</row>
    <row r="650" spans="1:11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</row>
    <row r="651" spans="1:1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</row>
    <row r="652" spans="1:11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</row>
    <row r="653" spans="1:11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</row>
    <row r="654" spans="1:11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</row>
    <row r="655" spans="1:11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</row>
    <row r="656" spans="1:11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</row>
    <row r="657" spans="1:11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</row>
    <row r="658" spans="1:11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</row>
    <row r="659" spans="1:11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</row>
    <row r="660" spans="1:11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</row>
    <row r="661" spans="1:1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</row>
    <row r="662" spans="1:11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</row>
    <row r="663" spans="1:11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</row>
    <row r="664" spans="1:11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</row>
    <row r="665" spans="1:11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</row>
    <row r="666" spans="1:11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</row>
    <row r="667" spans="1:11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</row>
    <row r="668" spans="1:11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</row>
    <row r="669" spans="1:11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</row>
    <row r="670" spans="1:11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</row>
    <row r="671" spans="1:1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</row>
    <row r="672" spans="1:11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</row>
    <row r="673" spans="1:11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</row>
    <row r="674" spans="1:11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</row>
    <row r="675" spans="1:11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</row>
    <row r="676" spans="1:11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</row>
    <row r="678" spans="1:11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</row>
    <row r="679" spans="1:11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</row>
    <row r="680" spans="1:11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</row>
    <row r="682" spans="1:11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</row>
    <row r="683" spans="1:11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</row>
    <row r="684" spans="1:11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</row>
    <row r="685" spans="1:11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</row>
    <row r="686" spans="1:11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</row>
    <row r="687" spans="1:11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</row>
    <row r="688" spans="1:11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</row>
    <row r="689" spans="1:11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</row>
    <row r="690" spans="1:11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</row>
    <row r="691" spans="1:1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</row>
    <row r="692" spans="1:11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</row>
    <row r="693" spans="1:11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</row>
    <row r="694" spans="1:11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</row>
    <row r="695" spans="1:11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</row>
    <row r="696" spans="1:11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</row>
    <row r="697" spans="1:11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</row>
    <row r="698" spans="1:11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</row>
    <row r="699" spans="1:11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</row>
    <row r="700" spans="1:11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</row>
    <row r="701" spans="1:1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</row>
    <row r="702" spans="1:11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</row>
    <row r="703" spans="1:11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</row>
    <row r="704" spans="1:11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</row>
    <row r="705" spans="1:11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</row>
    <row r="706" spans="1:11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</row>
    <row r="707" spans="1:11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</row>
    <row r="708" spans="1:11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</row>
    <row r="709" spans="1:11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</row>
    <row r="710" spans="1:11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</row>
    <row r="711" spans="1: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</row>
    <row r="712" spans="1:11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</row>
    <row r="713" spans="1:11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</row>
    <row r="714" spans="1:11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</row>
    <row r="715" spans="1:11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</row>
    <row r="716" spans="1:11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</row>
    <row r="717" spans="1:11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</row>
    <row r="718" spans="1:11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</row>
    <row r="719" spans="1:11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</row>
    <row r="720" spans="1:11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</row>
    <row r="721" spans="1:1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</row>
    <row r="722" spans="1:11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</row>
    <row r="723" spans="1:11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</row>
    <row r="724" spans="1:11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</row>
    <row r="725" spans="1:11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</row>
    <row r="726" spans="1:11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</row>
    <row r="727" spans="1:11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</row>
    <row r="728" spans="1:11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</row>
    <row r="729" spans="1:11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</row>
    <row r="730" spans="1:11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</row>
    <row r="731" spans="1:1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</row>
    <row r="732" spans="1:11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</row>
    <row r="733" spans="1:11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</row>
    <row r="734" spans="1:11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</row>
    <row r="735" spans="1:11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</row>
    <row r="736" spans="1:11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</row>
    <row r="737" spans="1:11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</row>
    <row r="738" spans="1:11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</row>
    <row r="740" spans="1:11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</row>
    <row r="742" spans="1:11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</row>
    <row r="744" spans="1:11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</row>
    <row r="746" spans="1:11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</row>
    <row r="748" spans="1:11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</row>
    <row r="749" spans="1:11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</row>
    <row r="750" spans="1:11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</row>
    <row r="751" spans="1:1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</row>
    <row r="752" spans="1:11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</row>
    <row r="753" spans="1:11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</row>
    <row r="754" spans="1:11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</row>
    <row r="755" spans="1:11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</row>
    <row r="756" spans="1:11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</row>
    <row r="757" spans="1:11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</row>
    <row r="758" spans="1:11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</row>
    <row r="759" spans="1:11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</row>
    <row r="760" spans="1:11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</row>
    <row r="761" spans="1:1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</row>
    <row r="762" spans="1:11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</row>
    <row r="763" spans="1:11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</row>
    <row r="764" spans="1:11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</row>
    <row r="765" spans="1:11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</row>
    <row r="766" spans="1:11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</row>
    <row r="767" spans="1:11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</row>
    <row r="768" spans="1:11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</row>
    <row r="769" spans="1:11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</row>
    <row r="770" spans="1:11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</row>
    <row r="771" spans="1:1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</row>
    <row r="772" spans="1:11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</row>
    <row r="774" spans="1:11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</row>
    <row r="775" spans="1:11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</row>
    <row r="776" spans="1:11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</row>
    <row r="777" spans="1:11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</row>
    <row r="778" spans="1:11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</row>
    <row r="779" spans="1:11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</row>
    <row r="780" spans="1:11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</row>
    <row r="781" spans="1:1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</row>
    <row r="782" spans="1:11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</row>
    <row r="783" spans="1:11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</row>
    <row r="784" spans="1:11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</row>
    <row r="785" spans="1:11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</row>
    <row r="786" spans="1:11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</row>
    <row r="787" spans="1:11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</row>
    <row r="788" spans="1:11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</row>
    <row r="789" spans="1:11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</row>
    <row r="790" spans="1:11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</row>
    <row r="791" spans="1:1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</row>
    <row r="792" spans="1:11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</row>
    <row r="793" spans="1:11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</row>
    <row r="794" spans="1:11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</row>
    <row r="795" spans="1:11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</row>
    <row r="796" spans="1:11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</row>
    <row r="797" spans="1:11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</row>
    <row r="798" spans="1:11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</row>
    <row r="799" spans="1:11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</row>
    <row r="800" spans="1:11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</row>
    <row r="801" spans="1:1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</row>
    <row r="802" spans="1:11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</row>
    <row r="803" spans="1:11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</row>
    <row r="804" spans="1:11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</row>
    <row r="805" spans="1:11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</row>
    <row r="806" spans="1:11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</row>
    <row r="807" spans="1:11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</row>
    <row r="808" spans="1:11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</row>
    <row r="809" spans="1:11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</row>
    <row r="810" spans="1:11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</row>
    <row r="811" spans="1: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</row>
    <row r="812" spans="1:11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</row>
    <row r="813" spans="1:11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</row>
    <row r="814" spans="1:11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</row>
    <row r="815" spans="1:11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</row>
    <row r="816" spans="1:11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</row>
    <row r="817" spans="1:11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</row>
    <row r="818" spans="1:11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</row>
    <row r="820" spans="1:11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</row>
    <row r="821" spans="1:1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</row>
    <row r="822" spans="1:11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</row>
    <row r="824" spans="1:11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</row>
    <row r="825" spans="1:11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</row>
    <row r="826" spans="1:11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</row>
    <row r="827" spans="1:11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</row>
    <row r="828" spans="1:11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</row>
    <row r="829" spans="1:11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</row>
    <row r="830" spans="1:11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</row>
    <row r="831" spans="1:1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</row>
    <row r="832" spans="1:11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</row>
    <row r="833" spans="1:11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</row>
    <row r="834" spans="1:11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</row>
    <row r="835" spans="1:11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</row>
    <row r="836" spans="1:11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</row>
    <row r="837" spans="1:11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</row>
    <row r="838" spans="1:11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</row>
    <row r="839" spans="1:11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</row>
    <row r="840" spans="1:11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</row>
    <row r="841" spans="1:1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</row>
    <row r="842" spans="1:11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</row>
    <row r="843" spans="1:11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</row>
    <row r="844" spans="1:11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</row>
    <row r="845" spans="1:11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</row>
    <row r="846" spans="1:11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</row>
    <row r="847" spans="1:11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</row>
    <row r="848" spans="1:11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</row>
    <row r="849" spans="1:11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</row>
    <row r="850" spans="1:11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</row>
    <row r="851" spans="1:1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</row>
    <row r="852" spans="1:11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</row>
    <row r="853" spans="1:11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</row>
    <row r="854" spans="1:11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</row>
    <row r="855" spans="1:11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</row>
    <row r="856" spans="1:11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</row>
    <row r="857" spans="1:11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</row>
    <row r="858" spans="1:11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</row>
    <row r="859" spans="1:11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</row>
    <row r="860" spans="1:11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</row>
    <row r="861" spans="1:1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</row>
    <row r="862" spans="1:11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</row>
    <row r="863" spans="1:11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</row>
    <row r="864" spans="1:11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</row>
    <row r="865" spans="1:11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</row>
    <row r="866" spans="1:11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</row>
    <row r="867" spans="1:11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</row>
    <row r="868" spans="1:11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</row>
    <row r="869" spans="1:11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</row>
    <row r="870" spans="1:11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</row>
    <row r="871" spans="1:1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</row>
    <row r="872" spans="1:11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</row>
    <row r="873" spans="1:11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</row>
    <row r="874" spans="1:11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</row>
    <row r="875" spans="1:11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</row>
    <row r="876" spans="1:11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</row>
    <row r="877" spans="1:11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</row>
    <row r="878" spans="1:11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</row>
    <row r="879" spans="1:11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</row>
    <row r="880" spans="1:11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</row>
    <row r="881" spans="1:1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</row>
    <row r="882" spans="1:11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</row>
    <row r="883" spans="1:11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</row>
    <row r="884" spans="1:11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</row>
    <row r="885" spans="1:11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</row>
    <row r="886" spans="1:11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</row>
    <row r="887" spans="1:11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</row>
    <row r="888" spans="1:11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</row>
    <row r="889" spans="1:11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</row>
    <row r="890" spans="1:11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</row>
    <row r="891" spans="1:1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</row>
    <row r="892" spans="1:11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</row>
    <row r="893" spans="1:11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</row>
    <row r="894" spans="1:11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</row>
    <row r="895" spans="1:11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</row>
    <row r="896" spans="1:11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</row>
    <row r="897" spans="1:11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</row>
    <row r="898" spans="1:11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</row>
    <row r="899" spans="1:11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</row>
    <row r="900" spans="1:11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</row>
    <row r="901" spans="1:1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</row>
    <row r="902" spans="1:11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</row>
    <row r="903" spans="1:11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</row>
    <row r="904" spans="1:11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</row>
    <row r="905" spans="1:11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</row>
    <row r="906" spans="1:11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</row>
    <row r="907" spans="1:11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</row>
    <row r="908" spans="1:11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</row>
    <row r="909" spans="1:11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</row>
    <row r="910" spans="1:11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</row>
    <row r="911" spans="1: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</row>
    <row r="912" spans="1:11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</row>
    <row r="913" spans="1:11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</row>
    <row r="914" spans="1:11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</row>
    <row r="915" spans="1:11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</row>
    <row r="916" spans="1:11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</row>
    <row r="917" spans="1:11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</row>
    <row r="918" spans="1:11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</row>
    <row r="919" spans="1:11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</row>
    <row r="920" spans="1:11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</row>
    <row r="921" spans="1:1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</row>
    <row r="922" spans="1:11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</row>
    <row r="923" spans="1:11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</row>
    <row r="924" spans="1:11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</row>
    <row r="925" spans="1:11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</row>
    <row r="926" spans="1:11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</row>
    <row r="927" spans="1:11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</row>
    <row r="928" spans="1:11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</row>
    <row r="929" spans="1:11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</row>
    <row r="930" spans="1:11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</row>
    <row r="931" spans="1:1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</row>
    <row r="932" spans="1:11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</row>
    <row r="933" spans="1:11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</row>
    <row r="934" spans="1:11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</row>
    <row r="935" spans="1:11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</row>
    <row r="936" spans="1:11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</row>
    <row r="937" spans="1:11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</row>
    <row r="938" spans="1:11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</row>
    <row r="939" spans="1:11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</row>
    <row r="940" spans="1:11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</row>
    <row r="941" spans="1:1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</row>
    <row r="942" spans="1:11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</row>
    <row r="943" spans="1:11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</row>
    <row r="944" spans="1:11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</row>
    <row r="945" spans="1:11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</row>
    <row r="946" spans="1:11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</row>
    <row r="947" spans="1:11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</row>
    <row r="948" spans="1:11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</row>
    <row r="949" spans="1:11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</row>
    <row r="950" spans="1:11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</row>
    <row r="951" spans="1:1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</row>
    <row r="952" spans="1:11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</row>
    <row r="953" spans="1:11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</row>
    <row r="954" spans="1:11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</row>
    <row r="955" spans="1:11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</row>
    <row r="956" spans="1:11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</row>
    <row r="957" spans="1:11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</row>
    <row r="958" spans="1:11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</row>
    <row r="959" spans="1:11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</row>
    <row r="960" spans="1:11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</row>
    <row r="961" spans="1:1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</row>
    <row r="962" spans="1:11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</row>
    <row r="963" spans="1:11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</row>
    <row r="964" spans="1:11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</row>
    <row r="965" spans="1:11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</row>
    <row r="966" spans="1:11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</row>
    <row r="967" spans="1:11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</row>
    <row r="968" spans="1:11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</row>
    <row r="969" spans="1:11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</row>
    <row r="970" spans="1:11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</row>
    <row r="971" spans="1:1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</row>
    <row r="972" spans="1:11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</row>
    <row r="973" spans="1:11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</row>
    <row r="974" spans="1:11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</row>
    <row r="975" spans="1:11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</row>
    <row r="976" spans="1:11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</row>
    <row r="977" spans="1:11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</row>
    <row r="978" spans="1:11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</row>
    <row r="979" spans="1:11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</row>
    <row r="980" spans="1:11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</row>
    <row r="981" spans="1:1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</row>
    <row r="982" spans="1:11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</row>
    <row r="983" spans="1:11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</row>
    <row r="984" spans="1:11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</row>
    <row r="985" spans="1:11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</row>
    <row r="986" spans="1:11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</row>
    <row r="987" spans="1:11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</row>
    <row r="988" spans="1:11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</row>
    <row r="989" spans="1:11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</row>
    <row r="990" spans="1:11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</row>
    <row r="991" spans="1:1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</row>
    <row r="992" spans="1:11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</row>
    <row r="993" spans="1:11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</row>
    <row r="994" spans="1:11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</row>
    <row r="995" spans="1:11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</row>
    <row r="996" spans="1:11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</row>
    <row r="997" spans="1:11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</row>
    <row r="998" spans="1:11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</row>
    <row r="999" spans="1:11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</row>
    <row r="1000" spans="1:11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</row>
  </sheetData>
  <mergeCells count="51">
    <mergeCell ref="F23:F26"/>
    <mergeCell ref="B11:B14"/>
    <mergeCell ref="C11:C14"/>
    <mergeCell ref="A15:A18"/>
    <mergeCell ref="B15:B18"/>
    <mergeCell ref="C15:C18"/>
    <mergeCell ref="B19:B22"/>
    <mergeCell ref="C19:C22"/>
    <mergeCell ref="A23:A26"/>
    <mergeCell ref="B23:B26"/>
    <mergeCell ref="C23:C26"/>
    <mergeCell ref="D23:D26"/>
    <mergeCell ref="E23:E26"/>
    <mergeCell ref="D19:D22"/>
    <mergeCell ref="E19:E22"/>
    <mergeCell ref="F19:F22"/>
    <mergeCell ref="F7:F10"/>
    <mergeCell ref="A11:A14"/>
    <mergeCell ref="F11:F14"/>
    <mergeCell ref="A19:A22"/>
    <mergeCell ref="D11:D14"/>
    <mergeCell ref="E11:E14"/>
    <mergeCell ref="D15:D18"/>
    <mergeCell ref="E15:E18"/>
    <mergeCell ref="F15:F18"/>
    <mergeCell ref="A7:A10"/>
    <mergeCell ref="B7:B10"/>
    <mergeCell ref="C7:C10"/>
    <mergeCell ref="D7:D10"/>
    <mergeCell ref="E7:E10"/>
    <mergeCell ref="A1:G1"/>
    <mergeCell ref="A3:A6"/>
    <mergeCell ref="B3:B6"/>
    <mergeCell ref="C3:C6"/>
    <mergeCell ref="D3:D6"/>
    <mergeCell ref="E3:E6"/>
    <mergeCell ref="F3:F6"/>
    <mergeCell ref="F31:F34"/>
    <mergeCell ref="A35:G35"/>
    <mergeCell ref="A36:G36"/>
    <mergeCell ref="A27:A30"/>
    <mergeCell ref="B27:B30"/>
    <mergeCell ref="C27:C30"/>
    <mergeCell ref="D27:D30"/>
    <mergeCell ref="E27:E30"/>
    <mergeCell ref="F27:F30"/>
    <mergeCell ref="A31:A34"/>
    <mergeCell ref="B31:B34"/>
    <mergeCell ref="C31:C34"/>
    <mergeCell ref="D31:D34"/>
    <mergeCell ref="E31:E34"/>
  </mergeCells>
  <phoneticPr fontId="51" type="noConversion"/>
  <pageMargins left="0.82" right="0.36" top="1.26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/>
  </sheetViews>
  <sheetFormatPr defaultColWidth="11.125" defaultRowHeight="15" customHeight="1"/>
  <cols>
    <col min="1" max="1" width="17" customWidth="1"/>
    <col min="2" max="2" width="12.625" customWidth="1"/>
    <col min="3" max="12" width="3.875" customWidth="1"/>
    <col min="13" max="13" width="9.125" customWidth="1"/>
    <col min="14" max="15" width="5.375" customWidth="1"/>
    <col min="16" max="26" width="9.875" customWidth="1"/>
  </cols>
  <sheetData>
    <row r="1" spans="1:15" ht="15.75" customHeight="1">
      <c r="A1" s="212" t="s">
        <v>30</v>
      </c>
      <c r="B1" s="213"/>
      <c r="C1" s="177"/>
      <c r="D1" s="177"/>
      <c r="E1" s="177"/>
      <c r="F1" s="177"/>
      <c r="G1" s="178" t="s">
        <v>31</v>
      </c>
      <c r="H1" s="179"/>
      <c r="I1" s="179"/>
      <c r="J1" s="179"/>
      <c r="K1" s="179"/>
      <c r="L1" s="179"/>
      <c r="M1" s="179"/>
      <c r="N1" s="18"/>
      <c r="O1" s="18"/>
    </row>
    <row r="2" spans="1:15" ht="15.75" customHeight="1">
      <c r="A2" s="208" t="s">
        <v>32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0"/>
      <c r="N2" s="18"/>
      <c r="O2" s="18"/>
    </row>
    <row r="3" spans="1:15" ht="15.75" customHeight="1">
      <c r="A3" s="214" t="s">
        <v>33</v>
      </c>
      <c r="B3" s="217" t="s">
        <v>34</v>
      </c>
      <c r="C3" s="220" t="s">
        <v>35</v>
      </c>
      <c r="D3" s="220" t="s">
        <v>4</v>
      </c>
      <c r="E3" s="221" t="s">
        <v>36</v>
      </c>
      <c r="F3" s="205"/>
      <c r="G3" s="205"/>
      <c r="H3" s="205"/>
      <c r="I3" s="205"/>
      <c r="J3" s="205"/>
      <c r="K3" s="205"/>
      <c r="L3" s="197"/>
      <c r="M3" s="211" t="s">
        <v>7</v>
      </c>
      <c r="N3" s="19"/>
      <c r="O3" s="19"/>
    </row>
    <row r="4" spans="1:15" ht="15.75" customHeight="1">
      <c r="A4" s="215"/>
      <c r="B4" s="218"/>
      <c r="C4" s="218"/>
      <c r="D4" s="218"/>
      <c r="E4" s="202" t="s">
        <v>37</v>
      </c>
      <c r="F4" s="205"/>
      <c r="G4" s="205"/>
      <c r="H4" s="197"/>
      <c r="I4" s="202" t="s">
        <v>38</v>
      </c>
      <c r="J4" s="205"/>
      <c r="K4" s="205"/>
      <c r="L4" s="197"/>
      <c r="M4" s="199"/>
      <c r="N4" s="19"/>
      <c r="O4" s="19"/>
    </row>
    <row r="5" spans="1:15" ht="15.75" customHeight="1">
      <c r="A5" s="215"/>
      <c r="B5" s="218"/>
      <c r="C5" s="218"/>
      <c r="D5" s="218"/>
      <c r="E5" s="202" t="s">
        <v>39</v>
      </c>
      <c r="F5" s="197"/>
      <c r="G5" s="202" t="s">
        <v>40</v>
      </c>
      <c r="H5" s="197"/>
      <c r="I5" s="202" t="s">
        <v>39</v>
      </c>
      <c r="J5" s="197"/>
      <c r="K5" s="202" t="s">
        <v>40</v>
      </c>
      <c r="L5" s="197"/>
      <c r="M5" s="199"/>
      <c r="N5" s="19"/>
      <c r="O5" s="19"/>
    </row>
    <row r="6" spans="1:15" ht="15.75" customHeight="1">
      <c r="A6" s="216"/>
      <c r="B6" s="219"/>
      <c r="C6" s="219"/>
      <c r="D6" s="219"/>
      <c r="E6" s="20" t="s">
        <v>41</v>
      </c>
      <c r="F6" s="20" t="s">
        <v>42</v>
      </c>
      <c r="G6" s="20" t="s">
        <v>41</v>
      </c>
      <c r="H6" s="20" t="s">
        <v>42</v>
      </c>
      <c r="I6" s="20" t="s">
        <v>41</v>
      </c>
      <c r="J6" s="20" t="s">
        <v>42</v>
      </c>
      <c r="K6" s="20" t="s">
        <v>41</v>
      </c>
      <c r="L6" s="20" t="s">
        <v>42</v>
      </c>
      <c r="M6" s="200"/>
      <c r="N6" s="19"/>
      <c r="O6" s="19"/>
    </row>
    <row r="7" spans="1:15" ht="15.75" customHeight="1">
      <c r="A7" s="214" t="s">
        <v>43</v>
      </c>
      <c r="B7" s="21" t="s">
        <v>44</v>
      </c>
      <c r="C7" s="22">
        <v>2</v>
      </c>
      <c r="D7" s="22">
        <v>2</v>
      </c>
      <c r="E7" s="22">
        <v>2</v>
      </c>
      <c r="F7" s="22"/>
      <c r="G7" s="23"/>
      <c r="H7" s="24"/>
      <c r="I7" s="22"/>
      <c r="J7" s="22"/>
      <c r="K7" s="22"/>
      <c r="L7" s="22"/>
      <c r="M7" s="25"/>
      <c r="N7" s="18"/>
      <c r="O7" s="18"/>
    </row>
    <row r="8" spans="1:15" ht="15.75" customHeight="1">
      <c r="A8" s="215"/>
      <c r="B8" s="21" t="s">
        <v>45</v>
      </c>
      <c r="C8" s="22">
        <v>2</v>
      </c>
      <c r="D8" s="22">
        <v>2</v>
      </c>
      <c r="E8" s="23">
        <v>2</v>
      </c>
      <c r="F8" s="24"/>
      <c r="G8" s="26"/>
      <c r="H8" s="22"/>
      <c r="I8" s="22"/>
      <c r="J8" s="22"/>
      <c r="K8" s="22"/>
      <c r="L8" s="22"/>
      <c r="M8" s="25"/>
      <c r="N8" s="18"/>
      <c r="O8" s="18"/>
    </row>
    <row r="9" spans="1:15" ht="15.75" customHeight="1">
      <c r="A9" s="215"/>
      <c r="B9" s="21" t="s">
        <v>46</v>
      </c>
      <c r="C9" s="22">
        <v>2</v>
      </c>
      <c r="D9" s="22">
        <v>2</v>
      </c>
      <c r="E9" s="26"/>
      <c r="F9" s="22"/>
      <c r="G9" s="22">
        <v>2</v>
      </c>
      <c r="H9" s="22"/>
      <c r="I9" s="22"/>
      <c r="J9" s="22"/>
      <c r="K9" s="27"/>
      <c r="L9" s="24"/>
      <c r="M9" s="25"/>
      <c r="N9" s="18"/>
      <c r="O9" s="18"/>
    </row>
    <row r="10" spans="1:15" ht="15.75" customHeight="1">
      <c r="A10" s="215"/>
      <c r="B10" s="21" t="s">
        <v>47</v>
      </c>
      <c r="C10" s="22">
        <v>2</v>
      </c>
      <c r="D10" s="22">
        <v>2</v>
      </c>
      <c r="E10" s="22"/>
      <c r="F10" s="22"/>
      <c r="G10" s="22">
        <v>2</v>
      </c>
      <c r="H10" s="22"/>
      <c r="I10" s="22"/>
      <c r="J10" s="22"/>
      <c r="K10" s="26"/>
      <c r="L10" s="22"/>
      <c r="M10" s="25"/>
      <c r="N10" s="18"/>
      <c r="O10" s="19"/>
    </row>
    <row r="11" spans="1:15" ht="15.75" customHeight="1">
      <c r="A11" s="215"/>
      <c r="B11" s="21" t="s">
        <v>48</v>
      </c>
      <c r="C11" s="22">
        <v>2</v>
      </c>
      <c r="D11" s="22">
        <v>2</v>
      </c>
      <c r="E11" s="22"/>
      <c r="F11" s="22"/>
      <c r="G11" s="22"/>
      <c r="H11" s="22"/>
      <c r="I11" s="22">
        <v>2</v>
      </c>
      <c r="J11" s="22"/>
      <c r="K11" s="22"/>
      <c r="L11" s="22"/>
      <c r="M11" s="25"/>
      <c r="N11" s="18"/>
      <c r="O11" s="19"/>
    </row>
    <row r="12" spans="1:15" ht="15.75" customHeight="1">
      <c r="A12" s="215"/>
      <c r="B12" s="21" t="s">
        <v>49</v>
      </c>
      <c r="C12" s="22">
        <v>2</v>
      </c>
      <c r="D12" s="22">
        <v>2</v>
      </c>
      <c r="E12" s="27"/>
      <c r="F12" s="24"/>
      <c r="G12" s="22"/>
      <c r="H12" s="22"/>
      <c r="I12" s="22"/>
      <c r="J12" s="22"/>
      <c r="K12" s="22">
        <v>2</v>
      </c>
      <c r="L12" s="22"/>
      <c r="M12" s="25"/>
      <c r="N12" s="18"/>
      <c r="O12" s="19"/>
    </row>
    <row r="13" spans="1:15" ht="15.75" customHeight="1">
      <c r="A13" s="216"/>
      <c r="B13" s="21" t="s">
        <v>50</v>
      </c>
      <c r="C13" s="28">
        <f t="shared" ref="C13:D13" si="0">SUM(C7:C12)</f>
        <v>12</v>
      </c>
      <c r="D13" s="28">
        <f t="shared" si="0"/>
        <v>12</v>
      </c>
      <c r="E13" s="203" t="s">
        <v>51</v>
      </c>
      <c r="F13" s="197"/>
      <c r="G13" s="203" t="s">
        <v>51</v>
      </c>
      <c r="H13" s="197"/>
      <c r="I13" s="203" t="s">
        <v>52</v>
      </c>
      <c r="J13" s="197"/>
      <c r="K13" s="203" t="s">
        <v>52</v>
      </c>
      <c r="L13" s="197"/>
      <c r="M13" s="25" t="s">
        <v>53</v>
      </c>
      <c r="N13" s="18"/>
      <c r="O13" s="19"/>
    </row>
    <row r="14" spans="1:15" ht="15.75" customHeight="1">
      <c r="A14" s="214" t="s">
        <v>54</v>
      </c>
      <c r="B14" s="29" t="s">
        <v>55</v>
      </c>
      <c r="C14" s="22">
        <v>3</v>
      </c>
      <c r="D14" s="22">
        <v>3</v>
      </c>
      <c r="E14" s="22">
        <v>3</v>
      </c>
      <c r="F14" s="22"/>
      <c r="G14" s="22"/>
      <c r="H14" s="22"/>
      <c r="I14" s="22"/>
      <c r="J14" s="22"/>
      <c r="K14" s="22"/>
      <c r="L14" s="22"/>
      <c r="M14" s="25"/>
      <c r="N14" s="18"/>
      <c r="O14" s="19"/>
    </row>
    <row r="15" spans="1:15" ht="15.75" customHeight="1">
      <c r="A15" s="215"/>
      <c r="B15" s="29" t="s">
        <v>56</v>
      </c>
      <c r="C15" s="22">
        <v>3</v>
      </c>
      <c r="D15" s="22">
        <v>4</v>
      </c>
      <c r="E15" s="22">
        <v>2</v>
      </c>
      <c r="F15" s="22">
        <v>2</v>
      </c>
      <c r="G15" s="22"/>
      <c r="H15" s="22"/>
      <c r="I15" s="22"/>
      <c r="J15" s="22"/>
      <c r="K15" s="22"/>
      <c r="L15" s="22"/>
      <c r="M15" s="25"/>
      <c r="N15" s="18"/>
      <c r="O15" s="19"/>
    </row>
    <row r="16" spans="1:15" ht="15.75" customHeight="1">
      <c r="A16" s="215"/>
      <c r="B16" s="29" t="s">
        <v>57</v>
      </c>
      <c r="C16" s="22">
        <v>3</v>
      </c>
      <c r="D16" s="22">
        <v>4</v>
      </c>
      <c r="E16" s="22"/>
      <c r="F16" s="22"/>
      <c r="G16" s="22">
        <v>2</v>
      </c>
      <c r="H16" s="22">
        <v>2</v>
      </c>
      <c r="I16" s="22"/>
      <c r="J16" s="22"/>
      <c r="K16" s="22"/>
      <c r="L16" s="22"/>
      <c r="M16" s="25"/>
      <c r="N16" s="18"/>
      <c r="O16" s="19"/>
    </row>
    <row r="17" spans="1:15" ht="15.75" customHeight="1">
      <c r="A17" s="215"/>
      <c r="B17" s="29" t="s">
        <v>58</v>
      </c>
      <c r="C17" s="22">
        <v>3</v>
      </c>
      <c r="D17" s="22">
        <v>3</v>
      </c>
      <c r="E17" s="22"/>
      <c r="F17" s="22"/>
      <c r="G17" s="22"/>
      <c r="H17" s="22"/>
      <c r="I17" s="22">
        <v>3</v>
      </c>
      <c r="J17" s="22"/>
      <c r="K17" s="22"/>
      <c r="L17" s="22"/>
      <c r="M17" s="25"/>
      <c r="N17" s="18"/>
      <c r="O17" s="19"/>
    </row>
    <row r="18" spans="1:15" ht="15.75" customHeight="1">
      <c r="A18" s="215"/>
      <c r="B18" s="29" t="s">
        <v>59</v>
      </c>
      <c r="C18" s="22">
        <v>3</v>
      </c>
      <c r="D18" s="22">
        <v>3</v>
      </c>
      <c r="E18" s="22"/>
      <c r="F18" s="22"/>
      <c r="G18" s="22">
        <v>3</v>
      </c>
      <c r="H18" s="22"/>
      <c r="I18" s="22"/>
      <c r="J18" s="22"/>
      <c r="K18" s="22"/>
      <c r="L18" s="22"/>
      <c r="M18" s="25"/>
      <c r="N18" s="18"/>
      <c r="O18" s="18"/>
    </row>
    <row r="19" spans="1:15" ht="15.75" customHeight="1">
      <c r="A19" s="215"/>
      <c r="B19" s="29" t="s">
        <v>60</v>
      </c>
      <c r="C19" s="22">
        <v>3</v>
      </c>
      <c r="D19" s="22">
        <v>3</v>
      </c>
      <c r="E19" s="22">
        <v>3</v>
      </c>
      <c r="F19" s="22"/>
      <c r="G19" s="22"/>
      <c r="H19" s="22"/>
      <c r="I19" s="22"/>
      <c r="J19" s="22"/>
      <c r="K19" s="22"/>
      <c r="L19" s="22"/>
      <c r="M19" s="25"/>
      <c r="N19" s="18"/>
      <c r="O19" s="18"/>
    </row>
    <row r="20" spans="1:15" ht="15.75" customHeight="1">
      <c r="A20" s="215"/>
      <c r="B20" s="30" t="s">
        <v>61</v>
      </c>
      <c r="C20" s="20">
        <v>3</v>
      </c>
      <c r="D20" s="20">
        <v>3</v>
      </c>
      <c r="E20" s="20"/>
      <c r="F20" s="20"/>
      <c r="G20" s="20">
        <v>3</v>
      </c>
      <c r="H20" s="22"/>
      <c r="I20" s="22"/>
      <c r="J20" s="22"/>
      <c r="K20" s="22"/>
      <c r="L20" s="22"/>
      <c r="M20" s="25"/>
      <c r="N20" s="18"/>
      <c r="O20" s="18"/>
    </row>
    <row r="21" spans="1:15" ht="15.75" customHeight="1">
      <c r="A21" s="215"/>
      <c r="B21" s="29" t="s">
        <v>62</v>
      </c>
      <c r="C21" s="22">
        <v>3</v>
      </c>
      <c r="D21" s="22">
        <v>3</v>
      </c>
      <c r="E21" s="21"/>
      <c r="F21" s="21"/>
      <c r="G21" s="22"/>
      <c r="H21" s="22"/>
      <c r="I21" s="22">
        <v>3</v>
      </c>
      <c r="J21" s="22"/>
      <c r="K21" s="22"/>
      <c r="L21" s="22"/>
      <c r="M21" s="25"/>
      <c r="N21" s="18"/>
      <c r="O21" s="18"/>
    </row>
    <row r="22" spans="1:15" ht="15.75" customHeight="1">
      <c r="A22" s="215"/>
      <c r="B22" s="29" t="s">
        <v>63</v>
      </c>
      <c r="C22" s="22">
        <v>3</v>
      </c>
      <c r="D22" s="22">
        <v>3</v>
      </c>
      <c r="E22" s="22">
        <v>3</v>
      </c>
      <c r="F22" s="21"/>
      <c r="G22" s="22"/>
      <c r="H22" s="22"/>
      <c r="I22" s="22"/>
      <c r="J22" s="22"/>
      <c r="K22" s="22"/>
      <c r="L22" s="22"/>
      <c r="M22" s="25"/>
      <c r="N22" s="18"/>
      <c r="O22" s="18"/>
    </row>
    <row r="23" spans="1:15" ht="15.75" customHeight="1">
      <c r="A23" s="215"/>
      <c r="B23" s="29" t="s">
        <v>64</v>
      </c>
      <c r="C23" s="22">
        <v>3</v>
      </c>
      <c r="D23" s="22">
        <v>3</v>
      </c>
      <c r="E23" s="21"/>
      <c r="F23" s="21"/>
      <c r="G23" s="22">
        <v>3</v>
      </c>
      <c r="H23" s="22" t="s">
        <v>29</v>
      </c>
      <c r="I23" s="22" t="s">
        <v>29</v>
      </c>
      <c r="J23" s="22" t="s">
        <v>29</v>
      </c>
      <c r="K23" s="22"/>
      <c r="L23" s="22"/>
      <c r="M23" s="25"/>
      <c r="N23" s="18"/>
      <c r="O23" s="18"/>
    </row>
    <row r="24" spans="1:15" ht="15.75" customHeight="1">
      <c r="A24" s="216"/>
      <c r="B24" s="29" t="s">
        <v>50</v>
      </c>
      <c r="C24" s="28">
        <f t="shared" ref="C24:D24" si="1">SUM(C14:C23)</f>
        <v>30</v>
      </c>
      <c r="D24" s="28">
        <f t="shared" si="1"/>
        <v>32</v>
      </c>
      <c r="E24" s="203" t="s">
        <v>65</v>
      </c>
      <c r="F24" s="197"/>
      <c r="G24" s="203" t="s">
        <v>65</v>
      </c>
      <c r="H24" s="197"/>
      <c r="I24" s="203" t="s">
        <v>66</v>
      </c>
      <c r="J24" s="197"/>
      <c r="K24" s="203" t="s">
        <v>67</v>
      </c>
      <c r="L24" s="197"/>
      <c r="M24" s="25" t="s">
        <v>53</v>
      </c>
      <c r="N24" s="27"/>
      <c r="O24" s="27"/>
    </row>
    <row r="25" spans="1:15" ht="15.75" customHeight="1">
      <c r="A25" s="204" t="s">
        <v>68</v>
      </c>
      <c r="B25" s="197"/>
      <c r="C25" s="28">
        <f t="shared" ref="C25:D25" si="2">SUM(C13,C24)</f>
        <v>42</v>
      </c>
      <c r="D25" s="28">
        <f t="shared" si="2"/>
        <v>44</v>
      </c>
      <c r="E25" s="203" t="s">
        <v>69</v>
      </c>
      <c r="F25" s="197"/>
      <c r="G25" s="203" t="s">
        <v>69</v>
      </c>
      <c r="H25" s="197"/>
      <c r="I25" s="203" t="s">
        <v>70</v>
      </c>
      <c r="J25" s="197"/>
      <c r="K25" s="203" t="s">
        <v>52</v>
      </c>
      <c r="L25" s="197"/>
      <c r="M25" s="25" t="s">
        <v>53</v>
      </c>
      <c r="N25" s="27"/>
      <c r="O25" s="27"/>
    </row>
    <row r="26" spans="1:15" ht="15.75" customHeight="1">
      <c r="A26" s="214" t="s">
        <v>71</v>
      </c>
      <c r="B26" s="31" t="s">
        <v>72</v>
      </c>
      <c r="C26" s="22">
        <v>30</v>
      </c>
      <c r="D26" s="22">
        <v>30</v>
      </c>
      <c r="E26" s="196" t="s">
        <v>73</v>
      </c>
      <c r="F26" s="197"/>
      <c r="G26" s="196" t="s">
        <v>73</v>
      </c>
      <c r="H26" s="197"/>
      <c r="I26" s="196" t="s">
        <v>74</v>
      </c>
      <c r="J26" s="197"/>
      <c r="K26" s="196" t="s">
        <v>75</v>
      </c>
      <c r="L26" s="197"/>
      <c r="M26" s="25" t="s">
        <v>53</v>
      </c>
      <c r="N26" s="18"/>
      <c r="O26" s="18"/>
    </row>
    <row r="27" spans="1:15" ht="15.75" customHeight="1">
      <c r="A27" s="215"/>
      <c r="B27" s="32"/>
      <c r="C27" s="20"/>
      <c r="D27" s="20"/>
      <c r="E27" s="202"/>
      <c r="F27" s="197"/>
      <c r="G27" s="202"/>
      <c r="H27" s="197"/>
      <c r="I27" s="202"/>
      <c r="J27" s="197"/>
      <c r="K27" s="202"/>
      <c r="L27" s="197"/>
      <c r="M27" s="33"/>
      <c r="N27" s="18"/>
      <c r="O27" s="18"/>
    </row>
    <row r="28" spans="1:15" ht="15.75" customHeight="1">
      <c r="A28" s="216"/>
      <c r="B28" s="180"/>
      <c r="C28" s="28"/>
      <c r="D28" s="28"/>
      <c r="E28" s="203"/>
      <c r="F28" s="197"/>
      <c r="G28" s="203"/>
      <c r="H28" s="197"/>
      <c r="I28" s="203"/>
      <c r="J28" s="197"/>
      <c r="K28" s="203"/>
      <c r="L28" s="197"/>
      <c r="M28" s="34"/>
      <c r="N28" s="27"/>
      <c r="O28" s="27"/>
    </row>
    <row r="29" spans="1:15" ht="15.75" customHeight="1">
      <c r="A29" s="222" t="s">
        <v>76</v>
      </c>
      <c r="B29" s="207"/>
      <c r="C29" s="35">
        <f t="shared" ref="C29:D29" si="3">SUM(C25:C26)</f>
        <v>72</v>
      </c>
      <c r="D29" s="35">
        <f t="shared" si="3"/>
        <v>74</v>
      </c>
      <c r="E29" s="206" t="s">
        <v>77</v>
      </c>
      <c r="F29" s="207"/>
      <c r="G29" s="206" t="s">
        <v>77</v>
      </c>
      <c r="H29" s="207"/>
      <c r="I29" s="206" t="s">
        <v>78</v>
      </c>
      <c r="J29" s="207"/>
      <c r="K29" s="206" t="s">
        <v>78</v>
      </c>
      <c r="L29" s="207"/>
      <c r="M29" s="36" t="s">
        <v>53</v>
      </c>
      <c r="N29" s="18"/>
      <c r="O29" s="18"/>
    </row>
    <row r="30" spans="1:15" ht="15.75" customHeight="1">
      <c r="A30" s="19"/>
      <c r="B30" s="19"/>
      <c r="C30" s="37"/>
      <c r="D30" s="37"/>
      <c r="E30" s="37"/>
      <c r="F30" s="37"/>
      <c r="G30" s="37"/>
      <c r="H30" s="37"/>
      <c r="I30" s="37"/>
      <c r="J30" s="19"/>
      <c r="K30" s="37"/>
      <c r="L30" s="37"/>
      <c r="M30" s="18"/>
      <c r="N30" s="18"/>
      <c r="O30" s="18"/>
    </row>
    <row r="31" spans="1:15" ht="15.75" customHeight="1">
      <c r="A31" s="212" t="s">
        <v>30</v>
      </c>
      <c r="B31" s="213"/>
      <c r="C31" s="177"/>
      <c r="D31" s="177"/>
      <c r="E31" s="177"/>
      <c r="F31" s="177"/>
      <c r="G31" s="178" t="s">
        <v>79</v>
      </c>
      <c r="H31" s="178"/>
      <c r="I31" s="178"/>
      <c r="J31" s="178"/>
      <c r="K31" s="178"/>
      <c r="L31" s="178"/>
      <c r="M31" s="178"/>
      <c r="N31" s="18"/>
      <c r="O31" s="18"/>
    </row>
    <row r="32" spans="1:15" ht="15.75" customHeight="1">
      <c r="A32" s="208" t="s">
        <v>32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10"/>
      <c r="N32" s="18"/>
      <c r="O32" s="18"/>
    </row>
    <row r="33" spans="1:15" ht="15.75" customHeight="1">
      <c r="A33" s="223" t="s">
        <v>80</v>
      </c>
      <c r="B33" s="217" t="s">
        <v>34</v>
      </c>
      <c r="C33" s="217" t="s">
        <v>35</v>
      </c>
      <c r="D33" s="217" t="s">
        <v>4</v>
      </c>
      <c r="E33" s="221" t="s">
        <v>36</v>
      </c>
      <c r="F33" s="205"/>
      <c r="G33" s="205"/>
      <c r="H33" s="205"/>
      <c r="I33" s="205"/>
      <c r="J33" s="205"/>
      <c r="K33" s="205"/>
      <c r="L33" s="197"/>
      <c r="M33" s="211" t="s">
        <v>7</v>
      </c>
      <c r="N33" s="19"/>
      <c r="O33" s="19"/>
    </row>
    <row r="34" spans="1:15" ht="15.75" customHeight="1">
      <c r="A34" s="215"/>
      <c r="B34" s="218"/>
      <c r="C34" s="218"/>
      <c r="D34" s="218"/>
      <c r="E34" s="202" t="s">
        <v>37</v>
      </c>
      <c r="F34" s="205"/>
      <c r="G34" s="205"/>
      <c r="H34" s="197"/>
      <c r="I34" s="202" t="s">
        <v>38</v>
      </c>
      <c r="J34" s="205"/>
      <c r="K34" s="205"/>
      <c r="L34" s="197"/>
      <c r="M34" s="199"/>
      <c r="N34" s="19"/>
      <c r="O34" s="19"/>
    </row>
    <row r="35" spans="1:15" ht="15.75" customHeight="1">
      <c r="A35" s="215"/>
      <c r="B35" s="218"/>
      <c r="C35" s="218"/>
      <c r="D35" s="218"/>
      <c r="E35" s="202" t="s">
        <v>39</v>
      </c>
      <c r="F35" s="197"/>
      <c r="G35" s="202" t="s">
        <v>40</v>
      </c>
      <c r="H35" s="197"/>
      <c r="I35" s="202" t="s">
        <v>39</v>
      </c>
      <c r="J35" s="197"/>
      <c r="K35" s="202" t="s">
        <v>40</v>
      </c>
      <c r="L35" s="197"/>
      <c r="M35" s="199"/>
      <c r="N35" s="19"/>
      <c r="O35" s="19"/>
    </row>
    <row r="36" spans="1:15" ht="15.75" customHeight="1">
      <c r="A36" s="215"/>
      <c r="B36" s="218"/>
      <c r="C36" s="218"/>
      <c r="D36" s="218"/>
      <c r="E36" s="181" t="s">
        <v>41</v>
      </c>
      <c r="F36" s="181" t="s">
        <v>42</v>
      </c>
      <c r="G36" s="181" t="s">
        <v>41</v>
      </c>
      <c r="H36" s="181" t="s">
        <v>42</v>
      </c>
      <c r="I36" s="181" t="s">
        <v>41</v>
      </c>
      <c r="J36" s="181" t="s">
        <v>42</v>
      </c>
      <c r="K36" s="181" t="s">
        <v>41</v>
      </c>
      <c r="L36" s="181" t="s">
        <v>42</v>
      </c>
      <c r="M36" s="199"/>
      <c r="N36" s="19"/>
      <c r="O36" s="19"/>
    </row>
    <row r="37" spans="1:15" ht="15.75" customHeight="1">
      <c r="A37" s="38" t="s">
        <v>81</v>
      </c>
      <c r="B37" s="39" t="s">
        <v>82</v>
      </c>
      <c r="C37" s="40">
        <v>3</v>
      </c>
      <c r="D37" s="40">
        <v>3</v>
      </c>
      <c r="E37" s="41"/>
      <c r="F37" s="41"/>
      <c r="G37" s="41"/>
      <c r="H37" s="41"/>
      <c r="I37" s="41">
        <v>3</v>
      </c>
      <c r="J37" s="41"/>
      <c r="K37" s="41"/>
      <c r="L37" s="41"/>
      <c r="M37" s="198"/>
      <c r="N37" s="18"/>
      <c r="O37" s="19"/>
    </row>
    <row r="38" spans="1:15" ht="15.75" customHeight="1">
      <c r="A38" s="42"/>
      <c r="B38" s="43" t="s">
        <v>83</v>
      </c>
      <c r="C38" s="44">
        <v>3</v>
      </c>
      <c r="D38" s="44">
        <v>3</v>
      </c>
      <c r="E38" s="45"/>
      <c r="F38" s="45"/>
      <c r="G38" s="45"/>
      <c r="H38" s="45"/>
      <c r="I38" s="45"/>
      <c r="J38" s="45"/>
      <c r="K38" s="45">
        <v>3</v>
      </c>
      <c r="L38" s="45"/>
      <c r="M38" s="199"/>
      <c r="N38" s="18"/>
      <c r="O38" s="18"/>
    </row>
    <row r="39" spans="1:15" ht="15.75" customHeight="1">
      <c r="A39" s="42"/>
      <c r="B39" s="46" t="s">
        <v>84</v>
      </c>
      <c r="C39" s="44">
        <v>3</v>
      </c>
      <c r="D39" s="44">
        <v>3</v>
      </c>
      <c r="E39" s="45"/>
      <c r="F39" s="45"/>
      <c r="G39" s="45">
        <v>3</v>
      </c>
      <c r="H39" s="45"/>
      <c r="I39" s="45"/>
      <c r="J39" s="45"/>
      <c r="K39" s="45"/>
      <c r="L39" s="45"/>
      <c r="M39" s="199"/>
      <c r="N39" s="18"/>
      <c r="O39" s="18"/>
    </row>
    <row r="40" spans="1:15" ht="15.75" customHeight="1">
      <c r="A40" s="42"/>
      <c r="B40" s="46" t="s">
        <v>85</v>
      </c>
      <c r="C40" s="44">
        <v>3</v>
      </c>
      <c r="D40" s="44">
        <v>3</v>
      </c>
      <c r="E40" s="47"/>
      <c r="F40" s="47"/>
      <c r="G40" s="47"/>
      <c r="H40" s="45"/>
      <c r="I40" s="45">
        <v>3</v>
      </c>
      <c r="J40" s="45"/>
      <c r="K40" s="45"/>
      <c r="L40" s="45"/>
      <c r="M40" s="199"/>
      <c r="N40" s="18"/>
      <c r="O40" s="19"/>
    </row>
    <row r="41" spans="1:15" ht="15.75" customHeight="1">
      <c r="A41" s="42"/>
      <c r="B41" s="48" t="s">
        <v>86</v>
      </c>
      <c r="C41" s="44">
        <v>3</v>
      </c>
      <c r="D41" s="44">
        <v>3</v>
      </c>
      <c r="E41" s="47"/>
      <c r="F41" s="47"/>
      <c r="G41" s="47"/>
      <c r="H41" s="45"/>
      <c r="I41" s="45"/>
      <c r="J41" s="45"/>
      <c r="K41" s="45">
        <v>3</v>
      </c>
      <c r="L41" s="45"/>
      <c r="M41" s="199"/>
      <c r="N41" s="18"/>
      <c r="O41" s="18"/>
    </row>
    <row r="42" spans="1:15" ht="15.75" customHeight="1">
      <c r="A42" s="42"/>
      <c r="B42" s="43" t="s">
        <v>87</v>
      </c>
      <c r="C42" s="44">
        <v>3</v>
      </c>
      <c r="D42" s="44">
        <v>3</v>
      </c>
      <c r="E42" s="47"/>
      <c r="F42" s="47"/>
      <c r="G42" s="47"/>
      <c r="H42" s="45"/>
      <c r="I42" s="45"/>
      <c r="J42" s="45"/>
      <c r="K42" s="45">
        <v>3</v>
      </c>
      <c r="L42" s="45"/>
      <c r="M42" s="199"/>
      <c r="N42" s="18"/>
      <c r="O42" s="19"/>
    </row>
    <row r="43" spans="1:15" ht="15.75" customHeight="1">
      <c r="A43" s="42"/>
      <c r="B43" s="43" t="s">
        <v>88</v>
      </c>
      <c r="C43" s="44">
        <v>3</v>
      </c>
      <c r="D43" s="44">
        <v>3</v>
      </c>
      <c r="E43" s="47"/>
      <c r="F43" s="47"/>
      <c r="G43" s="47"/>
      <c r="H43" s="45"/>
      <c r="I43" s="45">
        <v>3</v>
      </c>
      <c r="J43" s="45"/>
      <c r="K43" s="45"/>
      <c r="L43" s="45"/>
      <c r="M43" s="199"/>
      <c r="N43" s="18"/>
      <c r="O43" s="19"/>
    </row>
    <row r="44" spans="1:15" ht="15.75" customHeight="1">
      <c r="A44" s="42"/>
      <c r="B44" s="49" t="s">
        <v>89</v>
      </c>
      <c r="C44" s="50">
        <v>3</v>
      </c>
      <c r="D44" s="50">
        <v>3</v>
      </c>
      <c r="E44" s="47"/>
      <c r="F44" s="47"/>
      <c r="G44" s="47"/>
      <c r="H44" s="45"/>
      <c r="I44" s="45">
        <v>3</v>
      </c>
      <c r="J44" s="45"/>
      <c r="K44" s="45"/>
      <c r="L44" s="45"/>
      <c r="M44" s="199"/>
      <c r="N44" s="18"/>
      <c r="O44" s="19"/>
    </row>
    <row r="45" spans="1:15" ht="15.75" customHeight="1">
      <c r="A45" s="42"/>
      <c r="B45" s="49" t="s">
        <v>90</v>
      </c>
      <c r="C45" s="50">
        <v>3</v>
      </c>
      <c r="D45" s="50">
        <v>3</v>
      </c>
      <c r="E45" s="47"/>
      <c r="F45" s="47"/>
      <c r="G45" s="47"/>
      <c r="H45" s="45"/>
      <c r="I45" s="45"/>
      <c r="J45" s="45"/>
      <c r="K45" s="45">
        <v>3</v>
      </c>
      <c r="L45" s="45"/>
      <c r="M45" s="199"/>
      <c r="N45" s="18"/>
      <c r="O45" s="19"/>
    </row>
    <row r="46" spans="1:15" ht="15.75" customHeight="1">
      <c r="A46" s="42"/>
      <c r="B46" s="49" t="s">
        <v>91</v>
      </c>
      <c r="C46" s="50">
        <v>3</v>
      </c>
      <c r="D46" s="50">
        <v>3</v>
      </c>
      <c r="E46" s="47"/>
      <c r="F46" s="47"/>
      <c r="G46" s="47"/>
      <c r="H46" s="45"/>
      <c r="I46" s="45"/>
      <c r="J46" s="45"/>
      <c r="K46" s="45">
        <v>3</v>
      </c>
      <c r="L46" s="45"/>
      <c r="M46" s="199"/>
      <c r="N46" s="18"/>
      <c r="O46" s="19"/>
    </row>
    <row r="47" spans="1:15" ht="15.75" customHeight="1">
      <c r="A47" s="42"/>
      <c r="B47" s="49" t="s">
        <v>92</v>
      </c>
      <c r="C47" s="50">
        <v>3</v>
      </c>
      <c r="D47" s="50">
        <v>3</v>
      </c>
      <c r="E47" s="47"/>
      <c r="F47" s="47"/>
      <c r="G47" s="47"/>
      <c r="H47" s="45"/>
      <c r="I47" s="45"/>
      <c r="J47" s="45"/>
      <c r="K47" s="45">
        <v>3</v>
      </c>
      <c r="L47" s="45"/>
      <c r="M47" s="199"/>
      <c r="N47" s="18"/>
      <c r="O47" s="19"/>
    </row>
    <row r="48" spans="1:15" ht="15.75" customHeight="1">
      <c r="A48" s="42"/>
      <c r="B48" s="49" t="s">
        <v>93</v>
      </c>
      <c r="C48" s="50">
        <v>3</v>
      </c>
      <c r="D48" s="50">
        <v>3</v>
      </c>
      <c r="E48" s="47"/>
      <c r="F48" s="47"/>
      <c r="G48" s="47"/>
      <c r="H48" s="45"/>
      <c r="I48" s="45"/>
      <c r="J48" s="45"/>
      <c r="K48" s="45">
        <v>3</v>
      </c>
      <c r="L48" s="45"/>
      <c r="M48" s="199"/>
      <c r="N48" s="18"/>
      <c r="O48" s="18"/>
    </row>
    <row r="49" spans="1:15" ht="15.75" customHeight="1">
      <c r="A49" s="42"/>
      <c r="B49" s="43" t="s">
        <v>94</v>
      </c>
      <c r="C49" s="44">
        <v>3</v>
      </c>
      <c r="D49" s="44">
        <v>3</v>
      </c>
      <c r="E49" s="47"/>
      <c r="F49" s="47"/>
      <c r="G49" s="47"/>
      <c r="H49" s="45"/>
      <c r="I49" s="45">
        <v>3</v>
      </c>
      <c r="J49" s="45"/>
      <c r="K49" s="45"/>
      <c r="L49" s="45"/>
      <c r="M49" s="199"/>
      <c r="N49" s="18"/>
      <c r="O49" s="18"/>
    </row>
    <row r="50" spans="1:15" ht="15.75" customHeight="1">
      <c r="A50" s="42"/>
      <c r="B50" s="43" t="s">
        <v>95</v>
      </c>
      <c r="C50" s="44">
        <v>3</v>
      </c>
      <c r="D50" s="44">
        <v>3</v>
      </c>
      <c r="E50" s="45"/>
      <c r="F50" s="45"/>
      <c r="G50" s="45"/>
      <c r="H50" s="45"/>
      <c r="I50" s="45"/>
      <c r="J50" s="45"/>
      <c r="K50" s="45">
        <v>3</v>
      </c>
      <c r="L50" s="45"/>
      <c r="M50" s="199"/>
      <c r="N50" s="18"/>
      <c r="O50" s="18"/>
    </row>
    <row r="51" spans="1:15" ht="15.75" customHeight="1">
      <c r="A51" s="42"/>
      <c r="B51" s="51" t="s">
        <v>96</v>
      </c>
      <c r="C51" s="50">
        <v>3</v>
      </c>
      <c r="D51" s="50">
        <v>3</v>
      </c>
      <c r="E51" s="45">
        <v>3</v>
      </c>
      <c r="F51" s="45"/>
      <c r="G51" s="45"/>
      <c r="H51" s="45"/>
      <c r="I51" s="45"/>
      <c r="J51" s="45"/>
      <c r="K51" s="45"/>
      <c r="L51" s="45"/>
      <c r="M51" s="199"/>
      <c r="N51" s="18"/>
      <c r="O51" s="19"/>
    </row>
    <row r="52" spans="1:15" ht="15.75" customHeight="1">
      <c r="A52" s="42"/>
      <c r="B52" s="52" t="s">
        <v>97</v>
      </c>
      <c r="C52" s="53">
        <v>3</v>
      </c>
      <c r="D52" s="53">
        <v>3</v>
      </c>
      <c r="E52" s="54"/>
      <c r="F52" s="54"/>
      <c r="G52" s="54"/>
      <c r="H52" s="54"/>
      <c r="I52" s="55">
        <v>3</v>
      </c>
      <c r="J52" s="45"/>
      <c r="K52" s="45"/>
      <c r="L52" s="45"/>
      <c r="M52" s="199"/>
      <c r="N52" s="18"/>
      <c r="O52" s="19"/>
    </row>
    <row r="53" spans="1:15" ht="15.75" customHeight="1">
      <c r="A53" s="42"/>
      <c r="B53" s="51" t="s">
        <v>98</v>
      </c>
      <c r="C53" s="50">
        <v>3</v>
      </c>
      <c r="D53" s="50">
        <v>3</v>
      </c>
      <c r="E53" s="45"/>
      <c r="F53" s="45"/>
      <c r="G53" s="45"/>
      <c r="H53" s="45"/>
      <c r="I53" s="45">
        <v>3</v>
      </c>
      <c r="J53" s="45"/>
      <c r="K53" s="45"/>
      <c r="L53" s="45"/>
      <c r="M53" s="199"/>
      <c r="N53" s="18"/>
      <c r="O53" s="19"/>
    </row>
    <row r="54" spans="1:15" ht="15.75" customHeight="1">
      <c r="A54" s="42"/>
      <c r="B54" s="51" t="s">
        <v>99</v>
      </c>
      <c r="C54" s="50">
        <v>3</v>
      </c>
      <c r="D54" s="50">
        <v>3</v>
      </c>
      <c r="E54" s="45">
        <v>3</v>
      </c>
      <c r="F54" s="45"/>
      <c r="G54" s="45"/>
      <c r="H54" s="45"/>
      <c r="I54" s="45"/>
      <c r="J54" s="45"/>
      <c r="K54" s="45"/>
      <c r="L54" s="45"/>
      <c r="M54" s="199"/>
      <c r="N54" s="18"/>
      <c r="O54" s="19"/>
    </row>
    <row r="55" spans="1:15" ht="15.75" customHeight="1">
      <c r="A55" s="42"/>
      <c r="B55" s="43" t="s">
        <v>100</v>
      </c>
      <c r="C55" s="44">
        <v>3</v>
      </c>
      <c r="D55" s="44">
        <v>3</v>
      </c>
      <c r="E55" s="45"/>
      <c r="F55" s="45"/>
      <c r="G55" s="45"/>
      <c r="H55" s="45"/>
      <c r="I55" s="45"/>
      <c r="J55" s="45"/>
      <c r="K55" s="45">
        <v>3</v>
      </c>
      <c r="L55" s="45"/>
      <c r="M55" s="199"/>
      <c r="N55" s="18"/>
      <c r="O55" s="19"/>
    </row>
    <row r="56" spans="1:15" ht="15.75" customHeight="1">
      <c r="A56" s="42"/>
      <c r="B56" s="43" t="s">
        <v>101</v>
      </c>
      <c r="C56" s="44">
        <v>3</v>
      </c>
      <c r="D56" s="44">
        <v>3</v>
      </c>
      <c r="E56" s="45"/>
      <c r="F56" s="45"/>
      <c r="G56" s="45"/>
      <c r="H56" s="45"/>
      <c r="I56" s="45">
        <v>3</v>
      </c>
      <c r="J56" s="45"/>
      <c r="K56" s="45"/>
      <c r="L56" s="45"/>
      <c r="M56" s="199"/>
      <c r="N56" s="18"/>
      <c r="O56" s="19"/>
    </row>
    <row r="57" spans="1:15" ht="15.75" customHeight="1">
      <c r="A57" s="42"/>
      <c r="B57" s="43" t="s">
        <v>102</v>
      </c>
      <c r="C57" s="44">
        <v>3</v>
      </c>
      <c r="D57" s="44">
        <v>3</v>
      </c>
      <c r="E57" s="45"/>
      <c r="F57" s="45"/>
      <c r="G57" s="45"/>
      <c r="H57" s="45"/>
      <c r="I57" s="45"/>
      <c r="J57" s="45"/>
      <c r="K57" s="45">
        <v>3</v>
      </c>
      <c r="L57" s="45"/>
      <c r="M57" s="199"/>
      <c r="N57" s="18"/>
      <c r="O57" s="18"/>
    </row>
    <row r="58" spans="1:15" ht="15.75" customHeight="1">
      <c r="A58" s="42"/>
      <c r="B58" s="43" t="s">
        <v>103</v>
      </c>
      <c r="C58" s="44">
        <v>3</v>
      </c>
      <c r="D58" s="44">
        <v>3</v>
      </c>
      <c r="E58" s="45">
        <v>3</v>
      </c>
      <c r="F58" s="45"/>
      <c r="G58" s="45"/>
      <c r="H58" s="45"/>
      <c r="I58" s="45"/>
      <c r="J58" s="45"/>
      <c r="K58" s="45"/>
      <c r="L58" s="45"/>
      <c r="M58" s="199"/>
      <c r="N58" s="18"/>
      <c r="O58" s="18"/>
    </row>
    <row r="59" spans="1:15" ht="15.75" customHeight="1">
      <c r="A59" s="42"/>
      <c r="B59" s="43" t="s">
        <v>104</v>
      </c>
      <c r="C59" s="44">
        <v>3</v>
      </c>
      <c r="D59" s="44">
        <v>3</v>
      </c>
      <c r="E59" s="45"/>
      <c r="F59" s="45"/>
      <c r="G59" s="45">
        <v>3</v>
      </c>
      <c r="H59" s="45"/>
      <c r="I59" s="45"/>
      <c r="J59" s="45"/>
      <c r="K59" s="45"/>
      <c r="L59" s="45"/>
      <c r="M59" s="199"/>
      <c r="N59" s="18"/>
      <c r="O59" s="18"/>
    </row>
    <row r="60" spans="1:15" ht="15.75" customHeight="1">
      <c r="A60" s="42"/>
      <c r="B60" s="43" t="s">
        <v>105</v>
      </c>
      <c r="C60" s="44">
        <v>3</v>
      </c>
      <c r="D60" s="44">
        <v>3</v>
      </c>
      <c r="E60" s="45"/>
      <c r="F60" s="45"/>
      <c r="G60" s="45"/>
      <c r="H60" s="45"/>
      <c r="I60" s="45">
        <v>3</v>
      </c>
      <c r="J60" s="45"/>
      <c r="K60" s="45"/>
      <c r="L60" s="45"/>
      <c r="M60" s="200"/>
      <c r="N60" s="18"/>
      <c r="O60" s="18"/>
    </row>
    <row r="61" spans="1:15" ht="15.75" customHeight="1">
      <c r="A61" s="56" t="s">
        <v>30</v>
      </c>
      <c r="B61" s="48"/>
      <c r="C61" s="182" t="s">
        <v>106</v>
      </c>
      <c r="D61" s="57"/>
      <c r="E61" s="57"/>
      <c r="F61" s="57"/>
      <c r="G61" s="57"/>
      <c r="H61" s="57"/>
      <c r="I61" s="57"/>
      <c r="J61" s="57"/>
      <c r="K61" s="57"/>
      <c r="L61" s="58"/>
      <c r="M61" s="201"/>
      <c r="N61" s="18"/>
      <c r="O61" s="18"/>
    </row>
    <row r="62" spans="1:15" ht="15.75" customHeight="1">
      <c r="A62" s="204" t="s">
        <v>32</v>
      </c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197"/>
      <c r="M62" s="199"/>
      <c r="N62" s="18"/>
      <c r="O62" s="18"/>
    </row>
    <row r="63" spans="1:15" ht="15.75" customHeight="1">
      <c r="A63" s="42" t="s">
        <v>80</v>
      </c>
      <c r="B63" s="47" t="s">
        <v>34</v>
      </c>
      <c r="C63" s="47" t="s">
        <v>35</v>
      </c>
      <c r="D63" s="47" t="s">
        <v>4</v>
      </c>
      <c r="E63" s="47" t="s">
        <v>36</v>
      </c>
      <c r="F63" s="47"/>
      <c r="G63" s="47"/>
      <c r="H63" s="47"/>
      <c r="I63" s="47"/>
      <c r="J63" s="47"/>
      <c r="K63" s="47"/>
      <c r="L63" s="47"/>
      <c r="M63" s="199"/>
      <c r="N63" s="19"/>
      <c r="O63" s="19"/>
    </row>
    <row r="64" spans="1:15" ht="15.75" customHeight="1">
      <c r="A64" s="42"/>
      <c r="B64" s="47"/>
      <c r="C64" s="47"/>
      <c r="D64" s="47"/>
      <c r="E64" s="45" t="s">
        <v>37</v>
      </c>
      <c r="F64" s="45"/>
      <c r="G64" s="45"/>
      <c r="H64" s="45"/>
      <c r="I64" s="45" t="s">
        <v>38</v>
      </c>
      <c r="J64" s="45"/>
      <c r="K64" s="45"/>
      <c r="L64" s="45"/>
      <c r="M64" s="199"/>
      <c r="N64" s="19"/>
      <c r="O64" s="19"/>
    </row>
    <row r="65" spans="1:15" ht="15.75" customHeight="1">
      <c r="A65" s="42"/>
      <c r="B65" s="47"/>
      <c r="C65" s="47"/>
      <c r="D65" s="47"/>
      <c r="E65" s="45" t="s">
        <v>39</v>
      </c>
      <c r="F65" s="45"/>
      <c r="G65" s="45" t="s">
        <v>40</v>
      </c>
      <c r="H65" s="45"/>
      <c r="I65" s="45" t="s">
        <v>39</v>
      </c>
      <c r="J65" s="45"/>
      <c r="K65" s="45" t="s">
        <v>40</v>
      </c>
      <c r="L65" s="45"/>
      <c r="M65" s="199"/>
      <c r="N65" s="19"/>
      <c r="O65" s="19"/>
    </row>
    <row r="66" spans="1:15" ht="15.75" customHeight="1">
      <c r="A66" s="42"/>
      <c r="B66" s="47"/>
      <c r="C66" s="47"/>
      <c r="D66" s="47"/>
      <c r="E66" s="45" t="s">
        <v>41</v>
      </c>
      <c r="F66" s="45" t="s">
        <v>42</v>
      </c>
      <c r="G66" s="45" t="s">
        <v>41</v>
      </c>
      <c r="H66" s="45" t="s">
        <v>42</v>
      </c>
      <c r="I66" s="45" t="s">
        <v>41</v>
      </c>
      <c r="J66" s="45" t="s">
        <v>42</v>
      </c>
      <c r="K66" s="45" t="s">
        <v>41</v>
      </c>
      <c r="L66" s="45" t="s">
        <v>42</v>
      </c>
      <c r="M66" s="199"/>
      <c r="N66" s="19"/>
      <c r="O66" s="19"/>
    </row>
    <row r="67" spans="1:15" ht="15.75" customHeight="1">
      <c r="A67" s="42" t="s">
        <v>81</v>
      </c>
      <c r="B67" s="43" t="s">
        <v>107</v>
      </c>
      <c r="C67" s="44">
        <v>3</v>
      </c>
      <c r="D67" s="44">
        <v>3</v>
      </c>
      <c r="E67" s="45"/>
      <c r="F67" s="45"/>
      <c r="G67" s="45"/>
      <c r="H67" s="45"/>
      <c r="I67" s="47"/>
      <c r="J67" s="45"/>
      <c r="K67" s="45">
        <v>3</v>
      </c>
      <c r="L67" s="45"/>
      <c r="M67" s="199"/>
      <c r="N67" s="18"/>
      <c r="O67" s="18"/>
    </row>
    <row r="68" spans="1:15" ht="15.75" customHeight="1">
      <c r="A68" s="42"/>
      <c r="B68" s="43" t="s">
        <v>108</v>
      </c>
      <c r="C68" s="44">
        <v>3</v>
      </c>
      <c r="D68" s="44">
        <v>3</v>
      </c>
      <c r="E68" s="45"/>
      <c r="F68" s="45"/>
      <c r="G68" s="45"/>
      <c r="H68" s="45"/>
      <c r="I68" s="45">
        <v>3</v>
      </c>
      <c r="J68" s="45"/>
      <c r="K68" s="45"/>
      <c r="L68" s="45"/>
      <c r="M68" s="199"/>
      <c r="N68" s="18"/>
      <c r="O68" s="18"/>
    </row>
    <row r="69" spans="1:15" ht="15.75" customHeight="1">
      <c r="A69" s="42"/>
      <c r="B69" s="43" t="s">
        <v>109</v>
      </c>
      <c r="C69" s="44">
        <v>3</v>
      </c>
      <c r="D69" s="44">
        <v>3</v>
      </c>
      <c r="E69" s="45"/>
      <c r="F69" s="45"/>
      <c r="G69" s="45"/>
      <c r="H69" s="45"/>
      <c r="I69" s="45"/>
      <c r="J69" s="45"/>
      <c r="K69" s="45">
        <v>3</v>
      </c>
      <c r="L69" s="45"/>
      <c r="M69" s="199"/>
      <c r="N69" s="18"/>
      <c r="O69" s="18"/>
    </row>
    <row r="70" spans="1:15" ht="15.75" customHeight="1">
      <c r="A70" s="42"/>
      <c r="B70" s="43" t="s">
        <v>110</v>
      </c>
      <c r="C70" s="44">
        <v>3</v>
      </c>
      <c r="D70" s="44">
        <v>3</v>
      </c>
      <c r="E70" s="45"/>
      <c r="F70" s="45"/>
      <c r="G70" s="45"/>
      <c r="H70" s="45"/>
      <c r="I70" s="45">
        <v>3</v>
      </c>
      <c r="J70" s="45"/>
      <c r="K70" s="45"/>
      <c r="L70" s="45"/>
      <c r="M70" s="199"/>
      <c r="N70" s="18"/>
      <c r="O70" s="18"/>
    </row>
    <row r="71" spans="1:15" ht="15.75" customHeight="1">
      <c r="A71" s="42"/>
      <c r="B71" s="43" t="s">
        <v>111</v>
      </c>
      <c r="C71" s="44">
        <v>3</v>
      </c>
      <c r="D71" s="44">
        <v>3</v>
      </c>
      <c r="E71" s="45"/>
      <c r="F71" s="45"/>
      <c r="G71" s="45"/>
      <c r="H71" s="45"/>
      <c r="I71" s="45"/>
      <c r="J71" s="45"/>
      <c r="K71" s="45">
        <v>3</v>
      </c>
      <c r="L71" s="45"/>
      <c r="M71" s="199"/>
      <c r="N71" s="18"/>
      <c r="O71" s="18"/>
    </row>
    <row r="72" spans="1:15" ht="15.75" customHeight="1">
      <c r="A72" s="42"/>
      <c r="B72" s="43" t="s">
        <v>112</v>
      </c>
      <c r="C72" s="44">
        <v>3</v>
      </c>
      <c r="D72" s="44">
        <v>3</v>
      </c>
      <c r="E72" s="45"/>
      <c r="F72" s="45"/>
      <c r="G72" s="45"/>
      <c r="H72" s="45"/>
      <c r="I72" s="45">
        <v>3</v>
      </c>
      <c r="J72" s="45"/>
      <c r="K72" s="45"/>
      <c r="L72" s="45"/>
      <c r="M72" s="199"/>
      <c r="N72" s="18"/>
      <c r="O72" s="18"/>
    </row>
    <row r="73" spans="1:15" ht="15.75" customHeight="1">
      <c r="A73" s="42"/>
      <c r="B73" s="43" t="s">
        <v>113</v>
      </c>
      <c r="C73" s="44">
        <v>3</v>
      </c>
      <c r="D73" s="44">
        <v>3</v>
      </c>
      <c r="E73" s="45"/>
      <c r="F73" s="45"/>
      <c r="G73" s="45"/>
      <c r="H73" s="45"/>
      <c r="I73" s="45"/>
      <c r="J73" s="45"/>
      <c r="K73" s="45">
        <v>3</v>
      </c>
      <c r="L73" s="45"/>
      <c r="M73" s="199"/>
      <c r="N73" s="18"/>
      <c r="O73" s="18"/>
    </row>
    <row r="74" spans="1:15" ht="15.75" customHeight="1">
      <c r="A74" s="42"/>
      <c r="B74" s="43" t="s">
        <v>114</v>
      </c>
      <c r="C74" s="44">
        <v>3</v>
      </c>
      <c r="D74" s="44">
        <v>3</v>
      </c>
      <c r="E74" s="45"/>
      <c r="F74" s="45"/>
      <c r="G74" s="45"/>
      <c r="H74" s="45"/>
      <c r="I74" s="45">
        <v>3</v>
      </c>
      <c r="J74" s="45"/>
      <c r="K74" s="45"/>
      <c r="L74" s="45"/>
      <c r="M74" s="199"/>
      <c r="N74" s="18"/>
      <c r="O74" s="18"/>
    </row>
    <row r="75" spans="1:15" ht="15.75" customHeight="1">
      <c r="A75" s="42"/>
      <c r="B75" s="43" t="s">
        <v>115</v>
      </c>
      <c r="C75" s="44">
        <v>3</v>
      </c>
      <c r="D75" s="44">
        <v>3</v>
      </c>
      <c r="E75" s="45"/>
      <c r="F75" s="45"/>
      <c r="G75" s="45"/>
      <c r="H75" s="45"/>
      <c r="I75" s="45"/>
      <c r="J75" s="45"/>
      <c r="K75" s="45">
        <v>3</v>
      </c>
      <c r="L75" s="45"/>
      <c r="M75" s="199"/>
      <c r="N75" s="18"/>
      <c r="O75" s="18"/>
    </row>
    <row r="76" spans="1:15" ht="15.75" customHeight="1">
      <c r="A76" s="42"/>
      <c r="B76" s="59" t="s">
        <v>116</v>
      </c>
      <c r="C76" s="60">
        <v>3</v>
      </c>
      <c r="D76" s="60">
        <v>3</v>
      </c>
      <c r="E76" s="54"/>
      <c r="F76" s="54"/>
      <c r="G76" s="54"/>
      <c r="H76" s="54"/>
      <c r="I76" s="55">
        <v>3</v>
      </c>
      <c r="J76" s="45"/>
      <c r="K76" s="45"/>
      <c r="L76" s="45"/>
      <c r="M76" s="200"/>
      <c r="N76" s="18"/>
      <c r="O76" s="18"/>
    </row>
    <row r="77" spans="1:15" ht="15.75" customHeight="1">
      <c r="A77" s="61"/>
      <c r="B77" s="62" t="s">
        <v>117</v>
      </c>
      <c r="C77" s="63">
        <v>30</v>
      </c>
      <c r="D77" s="63">
        <v>30</v>
      </c>
      <c r="E77" s="64" t="s">
        <v>73</v>
      </c>
      <c r="F77" s="64"/>
      <c r="G77" s="64" t="s">
        <v>73</v>
      </c>
      <c r="H77" s="64"/>
      <c r="I77" s="64" t="s">
        <v>74</v>
      </c>
      <c r="J77" s="64"/>
      <c r="K77" s="64" t="s">
        <v>75</v>
      </c>
      <c r="L77" s="64"/>
      <c r="M77" s="65" t="s">
        <v>53</v>
      </c>
      <c r="N77" s="18"/>
      <c r="O77" s="18"/>
    </row>
    <row r="78" spans="1:15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5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spans="1:15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spans="1:15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spans="1:15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</row>
    <row r="422" spans="1:15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</row>
    <row r="423" spans="1:15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</row>
    <row r="424" spans="1:15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</row>
    <row r="425" spans="1:1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</row>
    <row r="426" spans="1:15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</row>
    <row r="427" spans="1:15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</row>
    <row r="428" spans="1:15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</row>
    <row r="429" spans="1:15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</row>
    <row r="430" spans="1:15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</row>
    <row r="431" spans="1:15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</row>
    <row r="432" spans="1:15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</row>
    <row r="433" spans="1:15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</row>
    <row r="434" spans="1:15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</row>
    <row r="435" spans="1:1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</row>
    <row r="436" spans="1:15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</row>
    <row r="437" spans="1:15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</row>
    <row r="438" spans="1:15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</row>
    <row r="439" spans="1:15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</row>
    <row r="440" spans="1:15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</row>
    <row r="441" spans="1:15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</row>
    <row r="442" spans="1:15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</row>
    <row r="443" spans="1:15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</row>
    <row r="444" spans="1:15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</row>
    <row r="445" spans="1:1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</row>
    <row r="446" spans="1:15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</row>
    <row r="447" spans="1:15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</row>
    <row r="448" spans="1:15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</row>
    <row r="449" spans="1:15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</row>
    <row r="450" spans="1:15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</row>
    <row r="451" spans="1:15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</row>
    <row r="452" spans="1:15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</row>
    <row r="453" spans="1:15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</row>
    <row r="454" spans="1:15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</row>
    <row r="455" spans="1:1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</row>
    <row r="456" spans="1:15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</row>
    <row r="457" spans="1:15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</row>
    <row r="458" spans="1:15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</row>
    <row r="459" spans="1:15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</row>
    <row r="460" spans="1:15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</row>
    <row r="461" spans="1:15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</row>
    <row r="462" spans="1:15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</row>
    <row r="463" spans="1:15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</row>
    <row r="464" spans="1:15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</row>
    <row r="465" spans="1:1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</row>
    <row r="466" spans="1:15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</row>
    <row r="467" spans="1:15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</row>
    <row r="468" spans="1:15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</row>
    <row r="469" spans="1:15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</row>
    <row r="470" spans="1:15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</row>
    <row r="471" spans="1:15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</row>
    <row r="472" spans="1:15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</row>
    <row r="473" spans="1:15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</row>
    <row r="474" spans="1:15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</row>
    <row r="475" spans="1:1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</row>
    <row r="476" spans="1:15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</row>
    <row r="477" spans="1:15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</row>
    <row r="478" spans="1:15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</row>
    <row r="479" spans="1:15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</row>
    <row r="480" spans="1:15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</row>
    <row r="481" spans="1:15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</row>
    <row r="482" spans="1:15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</row>
    <row r="483" spans="1:15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</row>
    <row r="484" spans="1:15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</row>
    <row r="485" spans="1:1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</row>
    <row r="486" spans="1:15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</row>
    <row r="487" spans="1:15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</row>
    <row r="488" spans="1:15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</row>
    <row r="489" spans="1:15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</row>
    <row r="490" spans="1:15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</row>
    <row r="491" spans="1:15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</row>
    <row r="492" spans="1:15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</row>
    <row r="493" spans="1:15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</row>
    <row r="494" spans="1:15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</row>
    <row r="495" spans="1:1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</row>
    <row r="496" spans="1:15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</row>
    <row r="497" spans="1:15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</row>
    <row r="498" spans="1:15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</row>
    <row r="499" spans="1:15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</row>
    <row r="500" spans="1:15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</row>
    <row r="501" spans="1:15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</row>
    <row r="502" spans="1:15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</row>
    <row r="503" spans="1:15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</row>
    <row r="504" spans="1:15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</row>
    <row r="505" spans="1:1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</row>
    <row r="506" spans="1:15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</row>
    <row r="507" spans="1:15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</row>
    <row r="508" spans="1:15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</row>
    <row r="509" spans="1:15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</row>
    <row r="510" spans="1:15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</row>
    <row r="511" spans="1:15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</row>
    <row r="512" spans="1:15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</row>
    <row r="513" spans="1:15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</row>
    <row r="514" spans="1:15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</row>
    <row r="515" spans="1: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</row>
    <row r="516" spans="1:15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</row>
    <row r="517" spans="1:15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</row>
    <row r="518" spans="1:15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</row>
    <row r="519" spans="1:15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</row>
    <row r="520" spans="1:15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</row>
    <row r="521" spans="1:15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</row>
    <row r="522" spans="1:15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</row>
    <row r="523" spans="1:15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</row>
    <row r="524" spans="1:15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</row>
    <row r="525" spans="1:1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</row>
    <row r="526" spans="1:15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</row>
    <row r="527" spans="1:15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</row>
    <row r="528" spans="1:15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</row>
    <row r="529" spans="1:15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</row>
    <row r="530" spans="1:15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</row>
    <row r="531" spans="1:15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</row>
    <row r="532" spans="1:15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</row>
    <row r="533" spans="1:15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</row>
    <row r="534" spans="1:15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</row>
    <row r="535" spans="1:1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</row>
    <row r="536" spans="1:15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</row>
    <row r="537" spans="1:15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</row>
    <row r="538" spans="1:15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</row>
    <row r="539" spans="1:15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</row>
    <row r="540" spans="1:15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</row>
    <row r="541" spans="1:15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</row>
    <row r="542" spans="1:15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</row>
    <row r="543" spans="1:15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</row>
    <row r="544" spans="1:15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</row>
    <row r="545" spans="1:1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</row>
    <row r="546" spans="1:15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</row>
    <row r="547" spans="1:15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</row>
    <row r="548" spans="1:15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</row>
    <row r="549" spans="1:15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</row>
    <row r="550" spans="1:15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</row>
    <row r="551" spans="1:15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</row>
    <row r="552" spans="1:15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</row>
    <row r="553" spans="1:15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</row>
    <row r="554" spans="1:15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</row>
    <row r="555" spans="1:1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</row>
    <row r="556" spans="1:15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</row>
    <row r="557" spans="1:15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</row>
    <row r="558" spans="1:15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</row>
    <row r="559" spans="1:15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</row>
    <row r="560" spans="1:15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</row>
    <row r="561" spans="1:15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</row>
    <row r="562" spans="1:15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</row>
    <row r="563" spans="1:15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</row>
    <row r="564" spans="1:15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</row>
    <row r="565" spans="1:1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</row>
    <row r="566" spans="1:15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</row>
    <row r="567" spans="1:15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</row>
    <row r="568" spans="1:15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</row>
    <row r="569" spans="1:15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</row>
    <row r="570" spans="1:15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</row>
    <row r="571" spans="1:15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</row>
    <row r="572" spans="1:15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</row>
    <row r="573" spans="1:15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</row>
    <row r="574" spans="1:15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</row>
    <row r="575" spans="1:1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</row>
    <row r="576" spans="1:15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</row>
    <row r="577" spans="1:15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</row>
    <row r="578" spans="1:15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</row>
    <row r="579" spans="1:15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</row>
    <row r="580" spans="1:15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</row>
    <row r="581" spans="1:15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</row>
    <row r="582" spans="1:15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</row>
    <row r="583" spans="1:15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</row>
    <row r="584" spans="1:15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</row>
    <row r="585" spans="1:1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</row>
    <row r="586" spans="1:15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</row>
    <row r="587" spans="1:15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</row>
    <row r="588" spans="1:15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</row>
    <row r="589" spans="1:15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</row>
    <row r="590" spans="1:15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</row>
    <row r="591" spans="1:15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</row>
    <row r="592" spans="1:15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</row>
    <row r="593" spans="1:15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</row>
    <row r="594" spans="1:15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</row>
    <row r="595" spans="1:1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</row>
    <row r="596" spans="1:15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</row>
    <row r="597" spans="1:15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</row>
    <row r="598" spans="1:15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</row>
    <row r="599" spans="1:15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</row>
    <row r="600" spans="1:15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</row>
    <row r="601" spans="1:15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</row>
    <row r="602" spans="1:15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</row>
    <row r="603" spans="1:15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</row>
    <row r="604" spans="1:15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</row>
    <row r="605" spans="1:1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</row>
    <row r="606" spans="1:15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</row>
    <row r="607" spans="1:15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</row>
    <row r="608" spans="1:15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</row>
    <row r="609" spans="1:15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</row>
    <row r="610" spans="1:15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</row>
    <row r="611" spans="1:15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</row>
    <row r="612" spans="1:15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</row>
    <row r="613" spans="1:15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</row>
    <row r="614" spans="1:15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</row>
    <row r="615" spans="1: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</row>
    <row r="616" spans="1:15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</row>
    <row r="617" spans="1:15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</row>
    <row r="618" spans="1:15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</row>
    <row r="619" spans="1:15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</row>
    <row r="620" spans="1:15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</row>
    <row r="621" spans="1:15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</row>
    <row r="622" spans="1:15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</row>
    <row r="623" spans="1:15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</row>
    <row r="624" spans="1:15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</row>
    <row r="625" spans="1:1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</row>
    <row r="626" spans="1:15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</row>
    <row r="627" spans="1:15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</row>
    <row r="628" spans="1:15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</row>
    <row r="629" spans="1:15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</row>
    <row r="630" spans="1:15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</row>
    <row r="631" spans="1:15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</row>
    <row r="632" spans="1:15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</row>
    <row r="633" spans="1:15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</row>
    <row r="634" spans="1:15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</row>
    <row r="635" spans="1:1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</row>
    <row r="636" spans="1:15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</row>
    <row r="637" spans="1:15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</row>
    <row r="638" spans="1:15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</row>
    <row r="639" spans="1:15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</row>
    <row r="640" spans="1:15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</row>
    <row r="641" spans="1:15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</row>
    <row r="642" spans="1:15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</row>
    <row r="643" spans="1:15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</row>
    <row r="644" spans="1:15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</row>
    <row r="645" spans="1:1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</row>
    <row r="646" spans="1:15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</row>
    <row r="647" spans="1:15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</row>
    <row r="648" spans="1:15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</row>
    <row r="649" spans="1:15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</row>
    <row r="650" spans="1:15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</row>
    <row r="651" spans="1:15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</row>
    <row r="652" spans="1:15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</row>
    <row r="653" spans="1:15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</row>
    <row r="654" spans="1:15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</row>
    <row r="655" spans="1:1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</row>
    <row r="656" spans="1:15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</row>
    <row r="657" spans="1:15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</row>
    <row r="658" spans="1:15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</row>
    <row r="659" spans="1:15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</row>
    <row r="660" spans="1:15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</row>
    <row r="661" spans="1:15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</row>
    <row r="662" spans="1:15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</row>
    <row r="663" spans="1:15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</row>
    <row r="664" spans="1:15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</row>
    <row r="665" spans="1:1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</row>
    <row r="666" spans="1:15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</row>
    <row r="667" spans="1:15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</row>
    <row r="668" spans="1:15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</row>
    <row r="669" spans="1:15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</row>
    <row r="670" spans="1:15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</row>
    <row r="671" spans="1:15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</row>
    <row r="672" spans="1:15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</row>
    <row r="673" spans="1:15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</row>
    <row r="674" spans="1:15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</row>
    <row r="675" spans="1:1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</row>
    <row r="676" spans="1:15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</row>
    <row r="677" spans="1:15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</row>
    <row r="678" spans="1:15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</row>
    <row r="679" spans="1:15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</row>
    <row r="680" spans="1:15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</row>
    <row r="681" spans="1:15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</row>
    <row r="682" spans="1:15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</row>
    <row r="683" spans="1:15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</row>
    <row r="684" spans="1:15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</row>
    <row r="685" spans="1:1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</row>
    <row r="686" spans="1:15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</row>
    <row r="687" spans="1:15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</row>
    <row r="688" spans="1:15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</row>
    <row r="689" spans="1:15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</row>
    <row r="690" spans="1:15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</row>
    <row r="691" spans="1:15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</row>
    <row r="692" spans="1:15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</row>
    <row r="693" spans="1:15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</row>
    <row r="694" spans="1:15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</row>
    <row r="695" spans="1:1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</row>
    <row r="696" spans="1:15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</row>
    <row r="697" spans="1:15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</row>
    <row r="698" spans="1:15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</row>
    <row r="699" spans="1:15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</row>
    <row r="700" spans="1:15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</row>
    <row r="701" spans="1:15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</row>
    <row r="702" spans="1:15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</row>
    <row r="703" spans="1:15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</row>
    <row r="704" spans="1:15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</row>
    <row r="705" spans="1:1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</row>
    <row r="706" spans="1:15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</row>
    <row r="707" spans="1:15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</row>
    <row r="708" spans="1:15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</row>
    <row r="709" spans="1:15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</row>
    <row r="710" spans="1:15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</row>
    <row r="711" spans="1:15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</row>
    <row r="712" spans="1:15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</row>
    <row r="713" spans="1:15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</row>
    <row r="714" spans="1:15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</row>
    <row r="715" spans="1: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</row>
    <row r="716" spans="1:15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</row>
    <row r="717" spans="1:15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</row>
    <row r="718" spans="1:15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</row>
    <row r="719" spans="1:15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</row>
    <row r="720" spans="1:15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</row>
    <row r="721" spans="1:15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</row>
    <row r="722" spans="1:15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</row>
    <row r="723" spans="1:15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</row>
    <row r="724" spans="1:15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</row>
    <row r="725" spans="1:1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</row>
    <row r="726" spans="1:15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</row>
    <row r="727" spans="1:15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</row>
    <row r="728" spans="1:15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</row>
    <row r="729" spans="1:15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</row>
    <row r="730" spans="1:15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</row>
    <row r="731" spans="1:15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</row>
    <row r="732" spans="1:15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</row>
    <row r="733" spans="1:15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</row>
    <row r="734" spans="1:15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</row>
    <row r="735" spans="1:1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</row>
    <row r="736" spans="1:15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</row>
    <row r="737" spans="1:15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</row>
    <row r="738" spans="1:15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</row>
    <row r="739" spans="1:15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</row>
    <row r="740" spans="1:15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</row>
    <row r="741" spans="1:15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</row>
    <row r="742" spans="1:15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</row>
    <row r="743" spans="1:15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</row>
    <row r="744" spans="1:15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</row>
    <row r="745" spans="1:1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</row>
    <row r="746" spans="1:15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</row>
    <row r="747" spans="1:15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</row>
    <row r="748" spans="1:15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</row>
    <row r="749" spans="1:15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</row>
    <row r="750" spans="1:15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</row>
    <row r="751" spans="1:15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</row>
    <row r="752" spans="1:15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</row>
    <row r="753" spans="1:15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</row>
    <row r="754" spans="1:15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</row>
    <row r="755" spans="1:1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</row>
    <row r="756" spans="1:15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</row>
    <row r="757" spans="1:15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</row>
    <row r="758" spans="1:15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</row>
    <row r="759" spans="1:15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</row>
    <row r="760" spans="1:15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</row>
    <row r="761" spans="1:15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</row>
    <row r="762" spans="1:15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</row>
    <row r="763" spans="1:15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</row>
    <row r="764" spans="1:15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</row>
    <row r="765" spans="1:1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</row>
    <row r="766" spans="1:15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</row>
    <row r="767" spans="1:15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</row>
    <row r="768" spans="1:15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</row>
    <row r="769" spans="1:15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</row>
    <row r="770" spans="1:15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</row>
    <row r="771" spans="1:15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</row>
    <row r="772" spans="1:15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</row>
    <row r="773" spans="1:15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</row>
    <row r="774" spans="1:15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</row>
    <row r="775" spans="1:1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</row>
    <row r="776" spans="1:15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</row>
    <row r="777" spans="1:15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</row>
    <row r="778" spans="1:15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</row>
    <row r="779" spans="1:15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</row>
    <row r="780" spans="1:15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</row>
    <row r="781" spans="1:15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</row>
    <row r="782" spans="1:15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</row>
    <row r="783" spans="1:15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</row>
    <row r="784" spans="1:15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</row>
    <row r="785" spans="1:1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</row>
    <row r="786" spans="1:15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</row>
    <row r="787" spans="1:15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</row>
    <row r="788" spans="1:15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</row>
    <row r="789" spans="1:15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</row>
    <row r="790" spans="1:15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</row>
    <row r="791" spans="1:15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</row>
    <row r="792" spans="1:15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</row>
    <row r="793" spans="1:15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</row>
    <row r="794" spans="1:15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</row>
    <row r="795" spans="1:1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</row>
    <row r="796" spans="1:15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</row>
    <row r="797" spans="1:15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</row>
    <row r="798" spans="1:15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</row>
    <row r="799" spans="1:15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</row>
    <row r="800" spans="1:15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</row>
    <row r="801" spans="1:15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</row>
    <row r="802" spans="1:15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</row>
    <row r="803" spans="1:15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</row>
    <row r="804" spans="1:15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</row>
    <row r="805" spans="1:1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</row>
    <row r="806" spans="1:15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</row>
    <row r="807" spans="1:15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</row>
    <row r="808" spans="1:15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</row>
    <row r="809" spans="1:15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</row>
    <row r="810" spans="1:15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</row>
    <row r="811" spans="1:15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</row>
    <row r="812" spans="1:15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</row>
    <row r="813" spans="1:15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</row>
    <row r="814" spans="1:15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</row>
    <row r="815" spans="1: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</row>
    <row r="816" spans="1:15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</row>
    <row r="817" spans="1:15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</row>
    <row r="818" spans="1:15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</row>
    <row r="819" spans="1:15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</row>
    <row r="820" spans="1:15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</row>
    <row r="821" spans="1:15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</row>
    <row r="822" spans="1:15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</row>
    <row r="823" spans="1:15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</row>
    <row r="889" spans="1:15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</row>
    <row r="890" spans="1:15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</row>
    <row r="891" spans="1:15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</row>
    <row r="892" spans="1:15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</row>
    <row r="893" spans="1:15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</row>
    <row r="894" spans="1:15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</row>
    <row r="895" spans="1:1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</row>
    <row r="896" spans="1:15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</row>
    <row r="897" spans="1:15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</row>
    <row r="898" spans="1:15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</row>
    <row r="899" spans="1:15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</row>
    <row r="900" spans="1:15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</row>
    <row r="901" spans="1:15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</row>
    <row r="902" spans="1:15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</row>
    <row r="903" spans="1:15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</row>
    <row r="904" spans="1:15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</row>
    <row r="905" spans="1:1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</row>
    <row r="906" spans="1:15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</row>
    <row r="907" spans="1:15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</row>
    <row r="908" spans="1:15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</row>
    <row r="909" spans="1:15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</row>
    <row r="910" spans="1:15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</row>
    <row r="911" spans="1:15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</row>
    <row r="912" spans="1:15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</row>
    <row r="913" spans="1:15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</row>
    <row r="914" spans="1:15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</row>
    <row r="915" spans="1: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</row>
    <row r="916" spans="1:15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</row>
    <row r="917" spans="1:15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</row>
    <row r="918" spans="1:15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</row>
    <row r="919" spans="1:15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</row>
    <row r="920" spans="1:15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</row>
    <row r="921" spans="1:15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</row>
    <row r="922" spans="1:15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</row>
    <row r="923" spans="1:15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</row>
    <row r="924" spans="1:15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</row>
    <row r="925" spans="1:1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</row>
    <row r="926" spans="1:15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</row>
    <row r="927" spans="1:15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</row>
    <row r="928" spans="1:15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</row>
    <row r="929" spans="1:15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</row>
    <row r="930" spans="1:15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</row>
    <row r="931" spans="1:15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</row>
    <row r="932" spans="1:15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</row>
    <row r="933" spans="1:15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</row>
    <row r="934" spans="1:15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</row>
    <row r="935" spans="1:1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</row>
    <row r="936" spans="1:15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</row>
    <row r="937" spans="1:15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</row>
    <row r="938" spans="1:15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</row>
    <row r="939" spans="1:15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</row>
    <row r="940" spans="1:15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</row>
    <row r="941" spans="1:15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</row>
    <row r="942" spans="1:15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</row>
    <row r="943" spans="1:15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</row>
    <row r="944" spans="1:15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</row>
    <row r="945" spans="1:1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</row>
    <row r="946" spans="1:15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</row>
    <row r="947" spans="1:15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</row>
    <row r="948" spans="1:15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</row>
    <row r="949" spans="1:15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</row>
    <row r="950" spans="1:15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</row>
    <row r="951" spans="1:15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</row>
    <row r="952" spans="1:15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</row>
    <row r="953" spans="1:15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</row>
    <row r="954" spans="1:15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</row>
    <row r="955" spans="1:1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</row>
    <row r="956" spans="1:15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</row>
    <row r="957" spans="1:15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</row>
    <row r="958" spans="1:15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</row>
    <row r="959" spans="1:15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</row>
    <row r="960" spans="1:15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</row>
    <row r="961" spans="1:15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</row>
    <row r="962" spans="1:15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</row>
    <row r="963" spans="1:15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</row>
    <row r="964" spans="1:15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</row>
    <row r="965" spans="1:1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</row>
    <row r="966" spans="1:15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</row>
    <row r="967" spans="1:15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</row>
    <row r="968" spans="1:15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</row>
    <row r="969" spans="1:15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</row>
    <row r="970" spans="1:15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</row>
    <row r="971" spans="1:15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</row>
    <row r="972" spans="1:15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</row>
    <row r="973" spans="1:15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</row>
    <row r="974" spans="1:15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</row>
    <row r="975" spans="1:1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</row>
    <row r="976" spans="1:15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</row>
    <row r="977" spans="1:15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</row>
    <row r="978" spans="1:15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</row>
    <row r="979" spans="1:15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</row>
    <row r="980" spans="1:15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</row>
    <row r="981" spans="1:15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</row>
    <row r="982" spans="1:15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</row>
    <row r="983" spans="1:15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</row>
    <row r="984" spans="1:15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</row>
    <row r="985" spans="1:1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</row>
    <row r="986" spans="1:15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</row>
    <row r="987" spans="1:15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</row>
    <row r="988" spans="1:15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</row>
    <row r="989" spans="1:15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</row>
    <row r="990" spans="1:15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</row>
    <row r="991" spans="1:15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</row>
    <row r="992" spans="1:15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</row>
    <row r="993" spans="1:15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</row>
    <row r="994" spans="1:15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</row>
    <row r="995" spans="1:1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</row>
    <row r="996" spans="1:15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</row>
    <row r="997" spans="1:15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</row>
    <row r="998" spans="1:15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</row>
    <row r="999" spans="1:15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</row>
    <row r="1000" spans="1:15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</row>
  </sheetData>
  <mergeCells count="64">
    <mergeCell ref="A31:B31"/>
    <mergeCell ref="A33:A36"/>
    <mergeCell ref="B33:B36"/>
    <mergeCell ref="I35:J35"/>
    <mergeCell ref="K35:L35"/>
    <mergeCell ref="E33:L33"/>
    <mergeCell ref="C33:C36"/>
    <mergeCell ref="D33:D36"/>
    <mergeCell ref="I13:J13"/>
    <mergeCell ref="K13:L13"/>
    <mergeCell ref="K24:L24"/>
    <mergeCell ref="A14:A24"/>
    <mergeCell ref="A25:B25"/>
    <mergeCell ref="I24:J24"/>
    <mergeCell ref="I25:J25"/>
    <mergeCell ref="K25:L25"/>
    <mergeCell ref="E28:F28"/>
    <mergeCell ref="E29:F29"/>
    <mergeCell ref="E5:F5"/>
    <mergeCell ref="G5:H5"/>
    <mergeCell ref="A7:A13"/>
    <mergeCell ref="G13:H13"/>
    <mergeCell ref="A26:A28"/>
    <mergeCell ref="A29:B29"/>
    <mergeCell ref="E13:F13"/>
    <mergeCell ref="E24:F24"/>
    <mergeCell ref="E25:F25"/>
    <mergeCell ref="E26:F26"/>
    <mergeCell ref="E27:F27"/>
    <mergeCell ref="G24:H24"/>
    <mergeCell ref="G25:H25"/>
    <mergeCell ref="A1:B1"/>
    <mergeCell ref="A2:M2"/>
    <mergeCell ref="A3:A6"/>
    <mergeCell ref="B3:B6"/>
    <mergeCell ref="C3:C6"/>
    <mergeCell ref="D3:D6"/>
    <mergeCell ref="M3:M6"/>
    <mergeCell ref="E3:L3"/>
    <mergeCell ref="E4:H4"/>
    <mergeCell ref="I4:L4"/>
    <mergeCell ref="I5:J5"/>
    <mergeCell ref="K5:L5"/>
    <mergeCell ref="M33:M36"/>
    <mergeCell ref="E34:H34"/>
    <mergeCell ref="I34:L34"/>
    <mergeCell ref="E35:F35"/>
    <mergeCell ref="G35:H35"/>
    <mergeCell ref="I26:J26"/>
    <mergeCell ref="K26:L26"/>
    <mergeCell ref="M37:M60"/>
    <mergeCell ref="M61:M76"/>
    <mergeCell ref="G26:H26"/>
    <mergeCell ref="G27:H27"/>
    <mergeCell ref="I27:J27"/>
    <mergeCell ref="K27:L27"/>
    <mergeCell ref="G28:H28"/>
    <mergeCell ref="I28:J28"/>
    <mergeCell ref="K28:L28"/>
    <mergeCell ref="A62:L62"/>
    <mergeCell ref="G29:H29"/>
    <mergeCell ref="I29:J29"/>
    <mergeCell ref="K29:L29"/>
    <mergeCell ref="A32:M32"/>
  </mergeCells>
  <phoneticPr fontId="51" type="noConversion"/>
  <pageMargins left="0.75" right="0.75" top="1" bottom="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tabSelected="1" zoomScale="115" zoomScaleNormal="115" workbookViewId="0">
      <selection sqref="A1:G126"/>
    </sheetView>
  </sheetViews>
  <sheetFormatPr defaultColWidth="11.125" defaultRowHeight="15" customHeight="1"/>
  <cols>
    <col min="1" max="1" width="10.125" customWidth="1"/>
    <col min="2" max="2" width="19.375" customWidth="1"/>
    <col min="3" max="3" width="4.875" customWidth="1"/>
    <col min="4" max="4" width="4.125" customWidth="1"/>
    <col min="5" max="5" width="17.625" customWidth="1"/>
    <col min="6" max="6" width="26" customWidth="1"/>
    <col min="7" max="7" width="7.625" customWidth="1"/>
    <col min="8" max="8" width="9.125" customWidth="1"/>
    <col min="9" max="9" width="11.375" customWidth="1"/>
    <col min="10" max="10" width="8.625" customWidth="1"/>
    <col min="11" max="11" width="12.375" customWidth="1"/>
    <col min="12" max="12" width="11.375" customWidth="1"/>
    <col min="13" max="13" width="9.125" customWidth="1"/>
    <col min="14" max="14" width="4.625" customWidth="1"/>
    <col min="15" max="15" width="7.375" customWidth="1"/>
    <col min="16" max="16" width="19" customWidth="1"/>
    <col min="17" max="19" width="5.375" customWidth="1"/>
    <col min="20" max="26" width="9.875" customWidth="1"/>
  </cols>
  <sheetData>
    <row r="1" spans="1:26" ht="48.75" customHeight="1">
      <c r="A1" s="66" t="s">
        <v>118</v>
      </c>
      <c r="B1" s="228" t="s">
        <v>119</v>
      </c>
      <c r="C1" s="184"/>
      <c r="D1" s="184"/>
      <c r="E1" s="184"/>
      <c r="F1" s="184"/>
      <c r="G1" s="184"/>
      <c r="H1" s="67"/>
      <c r="I1" s="229" t="s">
        <v>120</v>
      </c>
      <c r="J1" s="205"/>
      <c r="K1" s="205"/>
      <c r="L1" s="205"/>
      <c r="M1" s="205"/>
      <c r="N1" s="205"/>
      <c r="O1" s="205"/>
      <c r="P1" s="197"/>
      <c r="Q1" s="68"/>
      <c r="R1" s="68"/>
      <c r="S1" s="68"/>
    </row>
    <row r="2" spans="1:26" ht="16.5" customHeight="1">
      <c r="A2" s="230" t="s">
        <v>121</v>
      </c>
      <c r="B2" s="231"/>
      <c r="C2" s="231"/>
      <c r="D2" s="231"/>
      <c r="E2" s="231"/>
      <c r="F2" s="232"/>
      <c r="G2" s="69"/>
      <c r="H2" s="67"/>
      <c r="I2" s="70" t="s">
        <v>122</v>
      </c>
      <c r="J2" s="70" t="s">
        <v>123</v>
      </c>
      <c r="K2" s="71" t="s">
        <v>124</v>
      </c>
      <c r="L2" s="71" t="s">
        <v>125</v>
      </c>
      <c r="M2" s="71" t="s">
        <v>126</v>
      </c>
      <c r="N2" s="72" t="s">
        <v>50</v>
      </c>
      <c r="O2" s="72" t="s">
        <v>127</v>
      </c>
      <c r="P2" s="70" t="s">
        <v>7</v>
      </c>
      <c r="Q2" s="68"/>
      <c r="R2" s="68"/>
      <c r="S2" s="68"/>
    </row>
    <row r="3" spans="1:26" ht="16.5" customHeight="1">
      <c r="A3" s="73" t="s">
        <v>128</v>
      </c>
      <c r="B3" s="74" t="s">
        <v>34</v>
      </c>
      <c r="C3" s="75" t="s">
        <v>35</v>
      </c>
      <c r="D3" s="76" t="s">
        <v>4</v>
      </c>
      <c r="E3" s="77" t="s">
        <v>129</v>
      </c>
      <c r="F3" s="78" t="s">
        <v>130</v>
      </c>
      <c r="G3" s="79" t="s">
        <v>131</v>
      </c>
      <c r="H3" s="80"/>
      <c r="I3" s="70" t="s">
        <v>132</v>
      </c>
      <c r="J3" s="81">
        <v>5</v>
      </c>
      <c r="K3" s="71"/>
      <c r="L3" s="71">
        <v>6</v>
      </c>
      <c r="M3" s="71"/>
      <c r="N3" s="72">
        <f t="shared" ref="N3:N13" si="0">K3+L3+M3</f>
        <v>6</v>
      </c>
      <c r="O3" s="72">
        <f t="shared" ref="O3:O13" si="1">N3-J3</f>
        <v>1</v>
      </c>
      <c r="P3" s="82" t="s">
        <v>133</v>
      </c>
      <c r="Q3" s="68"/>
      <c r="R3" s="68"/>
      <c r="S3" s="68"/>
    </row>
    <row r="4" spans="1:26" ht="16.5" customHeight="1">
      <c r="A4" s="224" t="s">
        <v>134</v>
      </c>
      <c r="B4" s="83" t="s">
        <v>135</v>
      </c>
      <c r="C4" s="83">
        <v>2</v>
      </c>
      <c r="D4" s="83">
        <v>2</v>
      </c>
      <c r="E4" s="83"/>
      <c r="F4" s="84" t="s">
        <v>136</v>
      </c>
      <c r="G4" s="79" t="s">
        <v>137</v>
      </c>
      <c r="H4" s="80"/>
      <c r="I4" s="70" t="s">
        <v>138</v>
      </c>
      <c r="J4" s="81">
        <v>2</v>
      </c>
      <c r="K4" s="71">
        <v>1</v>
      </c>
      <c r="L4" s="71">
        <v>3</v>
      </c>
      <c r="M4" s="71"/>
      <c r="N4" s="72">
        <f t="shared" si="0"/>
        <v>4</v>
      </c>
      <c r="O4" s="72">
        <f t="shared" si="1"/>
        <v>2</v>
      </c>
      <c r="P4" s="82" t="s">
        <v>139</v>
      </c>
      <c r="Q4" s="68"/>
      <c r="R4" s="68"/>
      <c r="S4" s="68"/>
    </row>
    <row r="5" spans="1:26" ht="16.5" customHeight="1">
      <c r="A5" s="225"/>
      <c r="B5" s="83" t="s">
        <v>140</v>
      </c>
      <c r="C5" s="83">
        <v>2</v>
      </c>
      <c r="D5" s="83">
        <v>2</v>
      </c>
      <c r="E5" s="83"/>
      <c r="F5" s="84" t="s">
        <v>136</v>
      </c>
      <c r="G5" s="79" t="s">
        <v>137</v>
      </c>
      <c r="H5" s="80"/>
      <c r="I5" s="70" t="s">
        <v>141</v>
      </c>
      <c r="J5" s="81">
        <v>10</v>
      </c>
      <c r="K5" s="71">
        <v>4</v>
      </c>
      <c r="L5" s="71">
        <v>6</v>
      </c>
      <c r="M5" s="71"/>
      <c r="N5" s="72">
        <f t="shared" si="0"/>
        <v>10</v>
      </c>
      <c r="O5" s="72">
        <f t="shared" si="1"/>
        <v>0</v>
      </c>
      <c r="P5" s="82" t="s">
        <v>142</v>
      </c>
      <c r="Q5" s="68"/>
      <c r="R5" s="68"/>
      <c r="S5" s="68"/>
    </row>
    <row r="6" spans="1:26" ht="16.5" customHeight="1">
      <c r="A6" s="225"/>
      <c r="B6" s="83" t="s">
        <v>98</v>
      </c>
      <c r="C6" s="83">
        <v>2</v>
      </c>
      <c r="D6" s="83">
        <v>2</v>
      </c>
      <c r="E6" s="83"/>
      <c r="F6" s="84"/>
      <c r="G6" s="79" t="s">
        <v>137</v>
      </c>
      <c r="H6" s="80"/>
      <c r="I6" s="70" t="s">
        <v>143</v>
      </c>
      <c r="J6" s="81">
        <v>11</v>
      </c>
      <c r="K6" s="71">
        <v>2</v>
      </c>
      <c r="L6" s="71">
        <v>9</v>
      </c>
      <c r="M6" s="71"/>
      <c r="N6" s="72">
        <f t="shared" si="0"/>
        <v>11</v>
      </c>
      <c r="O6" s="72">
        <f t="shared" si="1"/>
        <v>0</v>
      </c>
      <c r="P6" s="82" t="s">
        <v>144</v>
      </c>
      <c r="Q6" s="68"/>
      <c r="R6" s="68"/>
      <c r="S6" s="68"/>
    </row>
    <row r="7" spans="1:26" ht="16.5" customHeight="1">
      <c r="A7" s="225"/>
      <c r="B7" s="83" t="s">
        <v>145</v>
      </c>
      <c r="C7" s="83">
        <v>2</v>
      </c>
      <c r="D7" s="83">
        <v>2</v>
      </c>
      <c r="E7" s="83"/>
      <c r="F7" s="84" t="s">
        <v>136</v>
      </c>
      <c r="G7" s="79" t="s">
        <v>137</v>
      </c>
      <c r="H7" s="80"/>
      <c r="I7" s="70" t="s">
        <v>146</v>
      </c>
      <c r="J7" s="81">
        <v>11</v>
      </c>
      <c r="K7" s="71">
        <v>1</v>
      </c>
      <c r="L7" s="71">
        <v>12</v>
      </c>
      <c r="M7" s="71"/>
      <c r="N7" s="72">
        <f t="shared" si="0"/>
        <v>13</v>
      </c>
      <c r="O7" s="72">
        <f t="shared" si="1"/>
        <v>2</v>
      </c>
      <c r="P7" s="82" t="s">
        <v>147</v>
      </c>
      <c r="Q7" s="68"/>
      <c r="R7" s="68"/>
      <c r="S7" s="68"/>
    </row>
    <row r="8" spans="1:26" ht="16.5" customHeight="1">
      <c r="A8" s="225"/>
      <c r="B8" s="83" t="s">
        <v>148</v>
      </c>
      <c r="C8" s="83">
        <v>2</v>
      </c>
      <c r="D8" s="83">
        <v>2</v>
      </c>
      <c r="E8" s="83"/>
      <c r="F8" s="84" t="s">
        <v>136</v>
      </c>
      <c r="G8" s="79" t="s">
        <v>137</v>
      </c>
      <c r="H8" s="80"/>
      <c r="I8" s="70" t="s">
        <v>149</v>
      </c>
      <c r="J8" s="81">
        <v>11</v>
      </c>
      <c r="K8" s="71">
        <v>4</v>
      </c>
      <c r="L8" s="71">
        <v>9</v>
      </c>
      <c r="M8" s="71"/>
      <c r="N8" s="72">
        <f t="shared" si="0"/>
        <v>13</v>
      </c>
      <c r="O8" s="72">
        <f t="shared" si="1"/>
        <v>2</v>
      </c>
      <c r="P8" s="82" t="s">
        <v>142</v>
      </c>
      <c r="Q8" s="68"/>
      <c r="R8" s="68"/>
      <c r="S8" s="68"/>
    </row>
    <row r="9" spans="1:26" ht="16.5" customHeight="1">
      <c r="A9" s="225"/>
      <c r="B9" s="83" t="s">
        <v>101</v>
      </c>
      <c r="C9" s="83">
        <v>2</v>
      </c>
      <c r="D9" s="83">
        <v>2</v>
      </c>
      <c r="E9" s="83"/>
      <c r="F9" s="84" t="s">
        <v>136</v>
      </c>
      <c r="G9" s="79" t="s">
        <v>137</v>
      </c>
      <c r="H9" s="80"/>
      <c r="I9" s="70" t="s">
        <v>150</v>
      </c>
      <c r="J9" s="81">
        <v>11</v>
      </c>
      <c r="K9" s="71">
        <v>4</v>
      </c>
      <c r="L9" s="71">
        <v>9</v>
      </c>
      <c r="M9" s="71"/>
      <c r="N9" s="72">
        <f t="shared" si="0"/>
        <v>13</v>
      </c>
      <c r="O9" s="72">
        <f t="shared" si="1"/>
        <v>2</v>
      </c>
      <c r="P9" s="82" t="s">
        <v>151</v>
      </c>
      <c r="Q9" s="68"/>
      <c r="R9" s="68"/>
      <c r="S9" s="68"/>
    </row>
    <row r="10" spans="1:26" ht="16.5" customHeight="1">
      <c r="A10" s="225"/>
      <c r="B10" s="83" t="s">
        <v>152</v>
      </c>
      <c r="C10" s="83">
        <v>2</v>
      </c>
      <c r="D10" s="83">
        <v>2</v>
      </c>
      <c r="E10" s="83"/>
      <c r="F10" s="84" t="s">
        <v>136</v>
      </c>
      <c r="G10" s="79" t="s">
        <v>137</v>
      </c>
      <c r="H10" s="85"/>
      <c r="I10" s="70" t="s">
        <v>153</v>
      </c>
      <c r="J10" s="81"/>
      <c r="K10" s="71"/>
      <c r="L10" s="71">
        <v>2</v>
      </c>
      <c r="M10" s="71"/>
      <c r="N10" s="72">
        <f t="shared" si="0"/>
        <v>2</v>
      </c>
      <c r="O10" s="72">
        <f t="shared" si="1"/>
        <v>2</v>
      </c>
      <c r="P10" s="82" t="s">
        <v>154</v>
      </c>
      <c r="Q10" s="86"/>
      <c r="R10" s="86"/>
      <c r="S10" s="86"/>
    </row>
    <row r="11" spans="1:26" ht="16.5" customHeight="1">
      <c r="A11" s="225"/>
      <c r="B11" s="83" t="s">
        <v>155</v>
      </c>
      <c r="C11" s="83">
        <v>2</v>
      </c>
      <c r="D11" s="83">
        <v>2</v>
      </c>
      <c r="E11" s="83"/>
      <c r="F11" s="84"/>
      <c r="G11" s="79" t="s">
        <v>137</v>
      </c>
      <c r="H11" s="80"/>
      <c r="I11" s="70" t="s">
        <v>156</v>
      </c>
      <c r="J11" s="81"/>
      <c r="K11" s="71"/>
      <c r="L11" s="71"/>
      <c r="M11" s="71"/>
      <c r="N11" s="72">
        <f t="shared" si="0"/>
        <v>0</v>
      </c>
      <c r="O11" s="72">
        <f t="shared" si="1"/>
        <v>0</v>
      </c>
      <c r="P11" s="82" t="s">
        <v>154</v>
      </c>
      <c r="Q11" s="68"/>
      <c r="R11" s="68"/>
      <c r="S11" s="68"/>
    </row>
    <row r="12" spans="1:26" ht="16.5" customHeight="1">
      <c r="A12" s="225"/>
      <c r="B12" s="83" t="s">
        <v>157</v>
      </c>
      <c r="C12" s="83">
        <v>3</v>
      </c>
      <c r="D12" s="83">
        <v>3</v>
      </c>
      <c r="E12" s="83" t="s">
        <v>132</v>
      </c>
      <c r="F12" s="84"/>
      <c r="G12" s="79" t="s">
        <v>137</v>
      </c>
      <c r="H12" s="80"/>
      <c r="I12" s="70" t="s">
        <v>158</v>
      </c>
      <c r="J12" s="81"/>
      <c r="K12" s="71"/>
      <c r="L12" s="71"/>
      <c r="M12" s="71"/>
      <c r="N12" s="72">
        <f t="shared" si="0"/>
        <v>0</v>
      </c>
      <c r="O12" s="72">
        <f t="shared" si="1"/>
        <v>0</v>
      </c>
      <c r="P12" s="82"/>
      <c r="Q12" s="68"/>
      <c r="R12" s="68"/>
      <c r="S12" s="68"/>
    </row>
    <row r="13" spans="1:26" ht="16.5" customHeight="1">
      <c r="A13" s="225"/>
      <c r="B13" s="83" t="s">
        <v>159</v>
      </c>
      <c r="C13" s="83">
        <v>1</v>
      </c>
      <c r="D13" s="83">
        <v>1</v>
      </c>
      <c r="E13" s="83"/>
      <c r="F13" s="84"/>
      <c r="G13" s="79" t="s">
        <v>137</v>
      </c>
      <c r="H13" s="80"/>
      <c r="I13" s="70"/>
      <c r="J13" s="81"/>
      <c r="K13" s="71"/>
      <c r="L13" s="71"/>
      <c r="M13" s="71"/>
      <c r="N13" s="72">
        <f t="shared" si="0"/>
        <v>0</v>
      </c>
      <c r="O13" s="72">
        <f t="shared" si="1"/>
        <v>0</v>
      </c>
      <c r="P13" s="82"/>
      <c r="Q13" s="68"/>
      <c r="R13" s="68"/>
      <c r="S13" s="68"/>
    </row>
    <row r="14" spans="1:26" ht="16.5" customHeight="1">
      <c r="A14" s="225"/>
      <c r="B14" s="83" t="s">
        <v>160</v>
      </c>
      <c r="C14" s="83">
        <v>3</v>
      </c>
      <c r="D14" s="83">
        <v>3</v>
      </c>
      <c r="E14" s="83" t="s">
        <v>150</v>
      </c>
      <c r="F14" s="84" t="s">
        <v>161</v>
      </c>
      <c r="G14" s="79" t="s">
        <v>137</v>
      </c>
      <c r="H14" s="80"/>
      <c r="I14" s="87" t="s">
        <v>50</v>
      </c>
      <c r="J14" s="87"/>
      <c r="K14" s="87">
        <f t="shared" ref="K14:O14" si="2">SUM(K3:K13)</f>
        <v>16</v>
      </c>
      <c r="L14" s="87">
        <f t="shared" si="2"/>
        <v>56</v>
      </c>
      <c r="M14" s="87">
        <f t="shared" si="2"/>
        <v>0</v>
      </c>
      <c r="N14" s="87">
        <f t="shared" si="2"/>
        <v>72</v>
      </c>
      <c r="O14" s="87">
        <f t="shared" si="2"/>
        <v>11</v>
      </c>
      <c r="P14" s="88"/>
      <c r="Q14" s="68"/>
      <c r="R14" s="68"/>
      <c r="S14" s="68"/>
    </row>
    <row r="15" spans="1:26" ht="16.5" customHeight="1">
      <c r="A15" s="225"/>
      <c r="B15" s="83" t="s">
        <v>162</v>
      </c>
      <c r="C15" s="83">
        <v>3</v>
      </c>
      <c r="D15" s="83">
        <v>3</v>
      </c>
      <c r="E15" s="83" t="s">
        <v>141</v>
      </c>
      <c r="F15" s="84" t="s">
        <v>163</v>
      </c>
      <c r="G15" s="79" t="s">
        <v>137</v>
      </c>
      <c r="H15" s="80"/>
      <c r="I15" s="89" t="s">
        <v>164</v>
      </c>
      <c r="J15" s="89"/>
      <c r="K15" s="89" t="s">
        <v>165</v>
      </c>
      <c r="L15" s="89">
        <v>72</v>
      </c>
      <c r="M15" s="89">
        <v>0</v>
      </c>
      <c r="N15" s="89"/>
      <c r="O15" s="89"/>
      <c r="P15" s="89"/>
      <c r="Q15" s="68"/>
      <c r="R15" s="68"/>
      <c r="S15" s="68"/>
    </row>
    <row r="16" spans="1:26" ht="16.5" customHeight="1">
      <c r="A16" s="225"/>
      <c r="B16" s="90" t="s">
        <v>166</v>
      </c>
      <c r="C16" s="90">
        <v>3</v>
      </c>
      <c r="D16" s="90">
        <v>3</v>
      </c>
      <c r="E16" s="90" t="s">
        <v>167</v>
      </c>
      <c r="F16" s="91"/>
      <c r="G16" s="92" t="s">
        <v>137</v>
      </c>
      <c r="H16" s="93"/>
      <c r="I16" s="94"/>
      <c r="J16" s="94"/>
      <c r="K16" s="94"/>
      <c r="L16" s="94"/>
      <c r="M16" s="94"/>
      <c r="N16" s="95"/>
      <c r="O16" s="95"/>
      <c r="P16" s="94"/>
      <c r="Q16" s="94"/>
      <c r="R16" s="94"/>
      <c r="S16" s="94"/>
      <c r="T16" s="96"/>
      <c r="U16" s="96"/>
      <c r="V16" s="96"/>
      <c r="W16" s="96"/>
      <c r="X16" s="96"/>
      <c r="Y16" s="96"/>
      <c r="Z16" s="96"/>
    </row>
    <row r="17" spans="1:26" ht="16.5" customHeight="1">
      <c r="A17" s="225"/>
      <c r="B17" s="90" t="s">
        <v>168</v>
      </c>
      <c r="C17" s="90">
        <v>3</v>
      </c>
      <c r="D17" s="90">
        <v>3</v>
      </c>
      <c r="E17" s="90" t="s">
        <v>167</v>
      </c>
      <c r="F17" s="91"/>
      <c r="G17" s="92" t="s">
        <v>137</v>
      </c>
      <c r="H17" s="93"/>
      <c r="I17" s="94"/>
      <c r="J17" s="94"/>
      <c r="K17" s="94"/>
      <c r="L17" s="94"/>
      <c r="M17" s="94"/>
      <c r="N17" s="95"/>
      <c r="O17" s="95"/>
      <c r="P17" s="94"/>
      <c r="Q17" s="94"/>
      <c r="R17" s="94"/>
      <c r="S17" s="94"/>
      <c r="T17" s="96"/>
      <c r="U17" s="96"/>
      <c r="V17" s="96"/>
      <c r="W17" s="96"/>
      <c r="X17" s="96"/>
      <c r="Y17" s="96"/>
      <c r="Z17" s="96"/>
    </row>
    <row r="18" spans="1:26" ht="16.5" customHeight="1">
      <c r="A18" s="225"/>
      <c r="B18" s="90" t="s">
        <v>169</v>
      </c>
      <c r="C18" s="90">
        <v>3</v>
      </c>
      <c r="D18" s="90">
        <v>3</v>
      </c>
      <c r="E18" s="90" t="s">
        <v>167</v>
      </c>
      <c r="F18" s="91"/>
      <c r="G18" s="92" t="s">
        <v>137</v>
      </c>
      <c r="H18" s="93"/>
      <c r="I18" s="94"/>
      <c r="J18" s="94"/>
      <c r="K18" s="94"/>
      <c r="L18" s="94"/>
      <c r="M18" s="94"/>
      <c r="N18" s="95"/>
      <c r="O18" s="95"/>
      <c r="P18" s="94"/>
      <c r="Q18" s="94"/>
      <c r="R18" s="94"/>
      <c r="S18" s="94"/>
      <c r="T18" s="96"/>
      <c r="U18" s="96"/>
      <c r="V18" s="96"/>
      <c r="W18" s="96"/>
      <c r="X18" s="96"/>
      <c r="Y18" s="96"/>
      <c r="Z18" s="96"/>
    </row>
    <row r="19" spans="1:26" ht="16.5" customHeight="1">
      <c r="A19" s="225"/>
      <c r="B19" s="97" t="s">
        <v>50</v>
      </c>
      <c r="C19" s="97">
        <f t="shared" ref="C19:D19" si="3">SUM(C4:C18)</f>
        <v>35</v>
      </c>
      <c r="D19" s="97">
        <f t="shared" si="3"/>
        <v>35</v>
      </c>
      <c r="E19" s="97"/>
      <c r="F19" s="98"/>
      <c r="G19" s="99"/>
      <c r="H19" s="80"/>
      <c r="I19" s="68"/>
      <c r="J19" s="68"/>
      <c r="K19" s="68"/>
      <c r="L19" s="68"/>
      <c r="M19" s="68"/>
      <c r="N19" s="100"/>
      <c r="O19" s="100"/>
      <c r="P19" s="68"/>
      <c r="Q19" s="68"/>
      <c r="R19" s="68"/>
      <c r="S19" s="68"/>
    </row>
    <row r="20" spans="1:26" ht="16.5" customHeight="1">
      <c r="A20" s="226"/>
      <c r="B20" s="101" t="s">
        <v>170</v>
      </c>
      <c r="C20" s="102"/>
      <c r="D20" s="102"/>
      <c r="E20" s="102"/>
      <c r="F20" s="103"/>
      <c r="G20" s="104"/>
      <c r="H20" s="80"/>
      <c r="I20" s="68"/>
      <c r="J20" s="68"/>
      <c r="K20" s="68"/>
      <c r="L20" s="68"/>
      <c r="M20" s="68"/>
      <c r="N20" s="100"/>
      <c r="O20" s="100"/>
      <c r="P20" s="68"/>
      <c r="Q20" s="68"/>
      <c r="R20" s="68"/>
      <c r="S20" s="68"/>
    </row>
    <row r="21" spans="1:26" ht="16.5" customHeight="1">
      <c r="A21" s="227" t="s">
        <v>171</v>
      </c>
      <c r="B21" s="105" t="s">
        <v>172</v>
      </c>
      <c r="C21" s="105">
        <v>3</v>
      </c>
      <c r="D21" s="105">
        <v>3</v>
      </c>
      <c r="E21" s="106" t="s">
        <v>173</v>
      </c>
      <c r="F21" s="107"/>
      <c r="G21" s="105" t="s">
        <v>174</v>
      </c>
      <c r="H21" s="108"/>
      <c r="I21" s="109"/>
      <c r="J21" s="109"/>
      <c r="K21" s="109"/>
      <c r="L21" s="109"/>
      <c r="M21" s="109"/>
      <c r="N21" s="110"/>
      <c r="O21" s="110"/>
      <c r="P21" s="109"/>
      <c r="Q21" s="109"/>
      <c r="R21" s="109"/>
      <c r="S21" s="109"/>
      <c r="T21" s="111"/>
      <c r="U21" s="111"/>
      <c r="V21" s="111"/>
      <c r="W21" s="111"/>
      <c r="X21" s="111"/>
      <c r="Y21" s="111"/>
      <c r="Z21" s="111"/>
    </row>
    <row r="22" spans="1:26" ht="16.5" customHeight="1">
      <c r="A22" s="225"/>
      <c r="B22" s="105" t="s">
        <v>175</v>
      </c>
      <c r="C22" s="105">
        <v>3</v>
      </c>
      <c r="D22" s="105">
        <v>3</v>
      </c>
      <c r="E22" s="105"/>
      <c r="F22" s="107"/>
      <c r="G22" s="105" t="s">
        <v>174</v>
      </c>
      <c r="H22" s="108"/>
      <c r="I22" s="109"/>
      <c r="J22" s="109"/>
      <c r="K22" s="109"/>
      <c r="L22" s="109"/>
      <c r="M22" s="109"/>
      <c r="N22" s="110"/>
      <c r="O22" s="110"/>
      <c r="P22" s="109"/>
      <c r="Q22" s="109"/>
      <c r="R22" s="109"/>
      <c r="S22" s="109"/>
      <c r="T22" s="111"/>
      <c r="U22" s="111"/>
      <c r="V22" s="111"/>
      <c r="W22" s="111"/>
      <c r="X22" s="111"/>
      <c r="Y22" s="111"/>
      <c r="Z22" s="111"/>
    </row>
    <row r="23" spans="1:26" ht="16.5" customHeight="1">
      <c r="A23" s="225"/>
      <c r="B23" s="112" t="s">
        <v>61</v>
      </c>
      <c r="C23" s="112">
        <v>2</v>
      </c>
      <c r="D23" s="112">
        <v>2</v>
      </c>
      <c r="E23" s="112"/>
      <c r="F23" s="113" t="s">
        <v>136</v>
      </c>
      <c r="G23" s="112" t="s">
        <v>137</v>
      </c>
      <c r="H23" s="108"/>
      <c r="I23" s="109"/>
      <c r="J23" s="109"/>
      <c r="K23" s="109"/>
      <c r="L23" s="109"/>
      <c r="M23" s="109"/>
      <c r="N23" s="110"/>
      <c r="O23" s="110"/>
      <c r="P23" s="109"/>
      <c r="Q23" s="109"/>
      <c r="R23" s="109"/>
      <c r="S23" s="109"/>
      <c r="T23" s="111"/>
      <c r="U23" s="111"/>
      <c r="V23" s="111"/>
      <c r="W23" s="111"/>
      <c r="X23" s="111"/>
      <c r="Y23" s="111"/>
      <c r="Z23" s="111"/>
    </row>
    <row r="24" spans="1:26" ht="16.5" customHeight="1">
      <c r="A24" s="225"/>
      <c r="B24" s="112" t="s">
        <v>176</v>
      </c>
      <c r="C24" s="112">
        <v>2</v>
      </c>
      <c r="D24" s="112">
        <v>2</v>
      </c>
      <c r="E24" s="112"/>
      <c r="F24" s="113" t="s">
        <v>177</v>
      </c>
      <c r="G24" s="112" t="s">
        <v>137</v>
      </c>
      <c r="H24" s="108"/>
      <c r="I24" s="109"/>
      <c r="J24" s="109"/>
      <c r="K24" s="109"/>
      <c r="L24" s="109"/>
      <c r="M24" s="109"/>
      <c r="N24" s="110"/>
      <c r="O24" s="110"/>
      <c r="P24" s="109"/>
      <c r="Q24" s="109"/>
      <c r="R24" s="109"/>
      <c r="S24" s="109"/>
      <c r="T24" s="111"/>
      <c r="U24" s="111"/>
      <c r="V24" s="111"/>
      <c r="W24" s="111"/>
      <c r="X24" s="111"/>
      <c r="Y24" s="111"/>
      <c r="Z24" s="111"/>
    </row>
    <row r="25" spans="1:26" ht="16.5" customHeight="1">
      <c r="A25" s="225"/>
      <c r="B25" s="112" t="s">
        <v>178</v>
      </c>
      <c r="C25" s="112">
        <v>3</v>
      </c>
      <c r="D25" s="112">
        <v>3</v>
      </c>
      <c r="E25" s="175"/>
      <c r="F25" s="113" t="s">
        <v>179</v>
      </c>
      <c r="G25" s="112" t="s">
        <v>137</v>
      </c>
      <c r="H25" s="108"/>
      <c r="I25" s="109"/>
      <c r="J25" s="109"/>
      <c r="K25" s="109"/>
      <c r="L25" s="109"/>
      <c r="M25" s="109"/>
      <c r="N25" s="110"/>
      <c r="O25" s="110"/>
      <c r="P25" s="109"/>
      <c r="Q25" s="109"/>
      <c r="R25" s="109"/>
      <c r="S25" s="109"/>
      <c r="T25" s="111"/>
      <c r="U25" s="111"/>
      <c r="V25" s="111"/>
      <c r="W25" s="111"/>
      <c r="X25" s="111"/>
      <c r="Y25" s="111"/>
      <c r="Z25" s="111"/>
    </row>
    <row r="26" spans="1:26" ht="16.5" customHeight="1">
      <c r="A26" s="225"/>
      <c r="B26" s="112" t="s">
        <v>180</v>
      </c>
      <c r="C26" s="112">
        <v>3</v>
      </c>
      <c r="D26" s="112">
        <v>3</v>
      </c>
      <c r="E26" s="175"/>
      <c r="F26" s="113" t="s">
        <v>136</v>
      </c>
      <c r="G26" s="112" t="s">
        <v>137</v>
      </c>
      <c r="H26" s="108"/>
      <c r="I26" s="109"/>
      <c r="J26" s="109"/>
      <c r="K26" s="109"/>
      <c r="L26" s="109"/>
      <c r="M26" s="109"/>
      <c r="N26" s="110"/>
      <c r="O26" s="110"/>
      <c r="P26" s="109"/>
      <c r="Q26" s="109"/>
      <c r="R26" s="109"/>
      <c r="S26" s="109"/>
      <c r="T26" s="111"/>
      <c r="U26" s="111"/>
      <c r="V26" s="111"/>
      <c r="W26" s="111"/>
      <c r="X26" s="111"/>
      <c r="Y26" s="111"/>
      <c r="Z26" s="111"/>
    </row>
    <row r="27" spans="1:26" ht="16.5" customHeight="1">
      <c r="A27" s="225"/>
      <c r="B27" s="169" t="s">
        <v>181</v>
      </c>
      <c r="C27" s="112">
        <v>3</v>
      </c>
      <c r="D27" s="112">
        <v>3</v>
      </c>
      <c r="E27" s="171" t="s">
        <v>182</v>
      </c>
      <c r="F27" s="113" t="s">
        <v>136</v>
      </c>
      <c r="G27" s="112" t="s">
        <v>137</v>
      </c>
      <c r="H27" s="108"/>
      <c r="I27" s="109"/>
      <c r="J27" s="109"/>
      <c r="K27" s="109"/>
      <c r="L27" s="109"/>
      <c r="M27" s="109"/>
      <c r="N27" s="110"/>
      <c r="O27" s="110"/>
      <c r="P27" s="109"/>
      <c r="Q27" s="109"/>
      <c r="R27" s="109"/>
      <c r="S27" s="109"/>
      <c r="T27" s="111"/>
      <c r="U27" s="111"/>
      <c r="V27" s="111"/>
      <c r="W27" s="111"/>
      <c r="X27" s="111"/>
      <c r="Y27" s="111"/>
      <c r="Z27" s="111"/>
    </row>
    <row r="28" spans="1:26" ht="16.5" customHeight="1">
      <c r="A28" s="225"/>
      <c r="B28" s="169" t="s">
        <v>183</v>
      </c>
      <c r="C28" s="112">
        <v>3</v>
      </c>
      <c r="D28" s="112">
        <v>3</v>
      </c>
      <c r="E28" s="172" t="s">
        <v>184</v>
      </c>
      <c r="F28" s="113" t="s">
        <v>136</v>
      </c>
      <c r="G28" s="112" t="s">
        <v>137</v>
      </c>
      <c r="H28" s="108"/>
      <c r="I28" s="109"/>
      <c r="J28" s="109"/>
      <c r="K28" s="109"/>
      <c r="L28" s="109"/>
      <c r="M28" s="109"/>
      <c r="N28" s="110"/>
      <c r="O28" s="110"/>
      <c r="P28" s="109"/>
      <c r="Q28" s="109"/>
      <c r="R28" s="109"/>
      <c r="S28" s="109"/>
      <c r="T28" s="111"/>
      <c r="U28" s="111"/>
      <c r="V28" s="111"/>
      <c r="W28" s="111"/>
      <c r="X28" s="111"/>
      <c r="Y28" s="111"/>
      <c r="Z28" s="111"/>
    </row>
    <row r="29" spans="1:26" ht="16.5" customHeight="1">
      <c r="A29" s="225"/>
      <c r="B29" s="114" t="s">
        <v>50</v>
      </c>
      <c r="C29" s="114">
        <f t="shared" ref="C29:D29" si="4">SUM(C21:C28)</f>
        <v>22</v>
      </c>
      <c r="D29" s="114">
        <f t="shared" si="4"/>
        <v>22</v>
      </c>
      <c r="E29" s="114"/>
      <c r="F29" s="115"/>
      <c r="G29" s="114"/>
      <c r="H29" s="108"/>
      <c r="I29" s="109"/>
      <c r="J29" s="109"/>
      <c r="K29" s="109"/>
      <c r="L29" s="109"/>
      <c r="M29" s="109"/>
      <c r="N29" s="110"/>
      <c r="O29" s="110"/>
      <c r="P29" s="109"/>
      <c r="Q29" s="109"/>
      <c r="R29" s="109"/>
      <c r="S29" s="109"/>
      <c r="T29" s="111"/>
      <c r="U29" s="111"/>
      <c r="V29" s="111"/>
      <c r="W29" s="111"/>
      <c r="X29" s="111"/>
      <c r="Y29" s="111"/>
      <c r="Z29" s="111"/>
    </row>
    <row r="30" spans="1:26" ht="16.5" customHeight="1">
      <c r="A30" s="226"/>
      <c r="B30" s="101" t="s">
        <v>185</v>
      </c>
      <c r="C30" s="116"/>
      <c r="D30" s="116"/>
      <c r="E30" s="116"/>
      <c r="F30" s="117"/>
      <c r="G30" s="116"/>
      <c r="H30" s="108"/>
      <c r="I30" s="109"/>
      <c r="J30" s="109"/>
      <c r="K30" s="109"/>
      <c r="L30" s="109"/>
      <c r="M30" s="109"/>
      <c r="N30" s="110"/>
      <c r="O30" s="110"/>
      <c r="P30" s="109"/>
      <c r="Q30" s="109"/>
      <c r="R30" s="109"/>
      <c r="S30" s="109"/>
      <c r="T30" s="111"/>
      <c r="U30" s="111"/>
      <c r="V30" s="111"/>
      <c r="W30" s="111"/>
      <c r="X30" s="111"/>
      <c r="Y30" s="111"/>
      <c r="Z30" s="111"/>
    </row>
    <row r="31" spans="1:26" ht="16.5" customHeight="1">
      <c r="A31" s="227" t="s">
        <v>186</v>
      </c>
      <c r="B31" s="105" t="s">
        <v>172</v>
      </c>
      <c r="C31" s="105">
        <v>3</v>
      </c>
      <c r="D31" s="105">
        <v>3</v>
      </c>
      <c r="E31" s="105" t="s">
        <v>187</v>
      </c>
      <c r="F31" s="107"/>
      <c r="G31" s="105" t="s">
        <v>174</v>
      </c>
      <c r="H31" s="108"/>
      <c r="I31" s="109"/>
      <c r="J31" s="109"/>
      <c r="K31" s="109"/>
      <c r="L31" s="109"/>
      <c r="M31" s="109"/>
      <c r="N31" s="110"/>
      <c r="O31" s="110"/>
      <c r="P31" s="109"/>
      <c r="Q31" s="109"/>
      <c r="R31" s="109"/>
      <c r="S31" s="109"/>
      <c r="T31" s="111"/>
      <c r="U31" s="111"/>
      <c r="V31" s="111"/>
      <c r="W31" s="111"/>
      <c r="X31" s="111"/>
      <c r="Y31" s="111"/>
      <c r="Z31" s="111"/>
    </row>
    <row r="32" spans="1:26" ht="16.5" customHeight="1">
      <c r="A32" s="225"/>
      <c r="B32" s="105" t="s">
        <v>175</v>
      </c>
      <c r="C32" s="105">
        <v>3</v>
      </c>
      <c r="D32" s="105">
        <v>3</v>
      </c>
      <c r="E32" s="105" t="s">
        <v>187</v>
      </c>
      <c r="F32" s="107"/>
      <c r="G32" s="105" t="s">
        <v>174</v>
      </c>
      <c r="H32" s="108"/>
      <c r="I32" s="109"/>
      <c r="J32" s="109"/>
      <c r="K32" s="109"/>
      <c r="L32" s="109"/>
      <c r="M32" s="109"/>
      <c r="N32" s="110"/>
      <c r="O32" s="110"/>
      <c r="P32" s="109"/>
      <c r="Q32" s="109"/>
      <c r="R32" s="109"/>
      <c r="S32" s="109"/>
      <c r="T32" s="111"/>
      <c r="U32" s="111"/>
      <c r="V32" s="111"/>
      <c r="W32" s="111"/>
      <c r="X32" s="111"/>
      <c r="Y32" s="111"/>
      <c r="Z32" s="111"/>
    </row>
    <row r="33" spans="1:26" ht="16.5" customHeight="1">
      <c r="A33" s="225"/>
      <c r="B33" s="112" t="s">
        <v>188</v>
      </c>
      <c r="C33" s="112">
        <v>3</v>
      </c>
      <c r="D33" s="112">
        <v>3</v>
      </c>
      <c r="E33" s="112"/>
      <c r="F33" s="113" t="s">
        <v>136</v>
      </c>
      <c r="G33" s="112" t="s">
        <v>137</v>
      </c>
      <c r="H33" s="108"/>
      <c r="I33" s="109"/>
      <c r="J33" s="109"/>
      <c r="K33" s="109"/>
      <c r="L33" s="109"/>
      <c r="M33" s="109"/>
      <c r="N33" s="110"/>
      <c r="O33" s="110"/>
      <c r="P33" s="109"/>
      <c r="Q33" s="109"/>
      <c r="R33" s="109"/>
      <c r="S33" s="109"/>
      <c r="T33" s="111"/>
      <c r="U33" s="111"/>
      <c r="V33" s="111"/>
      <c r="W33" s="111"/>
      <c r="X33" s="111"/>
      <c r="Y33" s="111"/>
      <c r="Z33" s="111"/>
    </row>
    <row r="34" spans="1:26" ht="16.5" customHeight="1">
      <c r="A34" s="225"/>
      <c r="B34" s="112" t="s">
        <v>189</v>
      </c>
      <c r="C34" s="112">
        <v>3</v>
      </c>
      <c r="D34" s="112">
        <v>3</v>
      </c>
      <c r="E34" s="112"/>
      <c r="F34" s="113" t="s">
        <v>136</v>
      </c>
      <c r="G34" s="112" t="s">
        <v>137</v>
      </c>
      <c r="H34" s="108"/>
      <c r="I34" s="109"/>
      <c r="J34" s="109"/>
      <c r="K34" s="109"/>
      <c r="L34" s="109"/>
      <c r="M34" s="109"/>
      <c r="N34" s="110"/>
      <c r="O34" s="110"/>
      <c r="P34" s="109"/>
      <c r="Q34" s="109"/>
      <c r="R34" s="109"/>
      <c r="S34" s="109"/>
      <c r="T34" s="111"/>
      <c r="U34" s="111"/>
      <c r="V34" s="111"/>
      <c r="W34" s="111"/>
      <c r="X34" s="111"/>
      <c r="Y34" s="111"/>
      <c r="Z34" s="111"/>
    </row>
    <row r="35" spans="1:26" ht="16.5" customHeight="1">
      <c r="A35" s="225"/>
      <c r="B35" s="112" t="s">
        <v>160</v>
      </c>
      <c r="C35" s="112">
        <v>3</v>
      </c>
      <c r="D35" s="112">
        <v>3</v>
      </c>
      <c r="E35" s="112"/>
      <c r="F35" s="113" t="s">
        <v>190</v>
      </c>
      <c r="G35" s="112" t="s">
        <v>137</v>
      </c>
      <c r="H35" s="108"/>
      <c r="I35" s="109"/>
      <c r="J35" s="109"/>
      <c r="K35" s="109"/>
      <c r="L35" s="109"/>
      <c r="M35" s="109"/>
      <c r="N35" s="110"/>
      <c r="O35" s="110"/>
      <c r="P35" s="109"/>
      <c r="Q35" s="109"/>
      <c r="R35" s="109"/>
      <c r="S35" s="109"/>
      <c r="T35" s="111"/>
      <c r="U35" s="111"/>
      <c r="V35" s="111"/>
      <c r="W35" s="111"/>
      <c r="X35" s="111"/>
      <c r="Y35" s="111"/>
      <c r="Z35" s="111"/>
    </row>
    <row r="36" spans="1:26" ht="16.5" customHeight="1">
      <c r="A36" s="225"/>
      <c r="B36" s="112" t="s">
        <v>135</v>
      </c>
      <c r="C36" s="112">
        <v>3</v>
      </c>
      <c r="D36" s="112">
        <v>3</v>
      </c>
      <c r="E36" s="112" t="s">
        <v>141</v>
      </c>
      <c r="F36" s="113" t="s">
        <v>136</v>
      </c>
      <c r="G36" s="112" t="s">
        <v>137</v>
      </c>
      <c r="H36" s="118"/>
      <c r="I36" s="119"/>
      <c r="J36" s="119"/>
      <c r="K36" s="119"/>
      <c r="L36" s="119"/>
      <c r="M36" s="119"/>
      <c r="N36" s="120"/>
      <c r="O36" s="120"/>
      <c r="P36" s="119"/>
      <c r="Q36" s="119"/>
      <c r="R36" s="119"/>
      <c r="S36" s="119"/>
      <c r="T36" s="111"/>
      <c r="U36" s="111"/>
      <c r="V36" s="111"/>
      <c r="W36" s="111"/>
      <c r="X36" s="111"/>
      <c r="Y36" s="111"/>
      <c r="Z36" s="111"/>
    </row>
    <row r="37" spans="1:26" ht="16.5" customHeight="1">
      <c r="A37" s="225"/>
      <c r="B37" s="169" t="s">
        <v>181</v>
      </c>
      <c r="C37" s="112">
        <v>3</v>
      </c>
      <c r="D37" s="112">
        <v>3</v>
      </c>
      <c r="E37" s="173" t="s">
        <v>191</v>
      </c>
      <c r="F37" s="113"/>
      <c r="G37" s="112" t="s">
        <v>137</v>
      </c>
      <c r="H37" s="121"/>
      <c r="I37" s="122"/>
      <c r="J37" s="122"/>
      <c r="K37" s="122"/>
      <c r="L37" s="122"/>
      <c r="M37" s="122"/>
      <c r="N37" s="123"/>
      <c r="O37" s="123"/>
      <c r="P37" s="122"/>
      <c r="Q37" s="122"/>
      <c r="R37" s="122"/>
      <c r="S37" s="122"/>
      <c r="T37" s="111"/>
      <c r="U37" s="111"/>
      <c r="V37" s="111"/>
      <c r="W37" s="111"/>
      <c r="X37" s="111"/>
      <c r="Y37" s="111"/>
      <c r="Z37" s="111"/>
    </row>
    <row r="38" spans="1:26" ht="16.5" customHeight="1">
      <c r="A38" s="225"/>
      <c r="B38" s="169" t="s">
        <v>183</v>
      </c>
      <c r="C38" s="112">
        <v>3</v>
      </c>
      <c r="D38" s="112">
        <v>3</v>
      </c>
      <c r="E38" s="173" t="s">
        <v>191</v>
      </c>
      <c r="F38" s="113"/>
      <c r="G38" s="112" t="s">
        <v>137</v>
      </c>
      <c r="H38" s="121"/>
      <c r="I38" s="122"/>
      <c r="J38" s="122"/>
      <c r="K38" s="122"/>
      <c r="L38" s="122"/>
      <c r="M38" s="122"/>
      <c r="N38" s="123"/>
      <c r="O38" s="123"/>
      <c r="P38" s="122"/>
      <c r="Q38" s="122"/>
      <c r="R38" s="122"/>
      <c r="S38" s="122"/>
      <c r="T38" s="111"/>
      <c r="U38" s="111"/>
      <c r="V38" s="111"/>
      <c r="W38" s="111"/>
      <c r="X38" s="111"/>
      <c r="Y38" s="111"/>
      <c r="Z38" s="111"/>
    </row>
    <row r="39" spans="1:26" ht="16.5" customHeight="1">
      <c r="A39" s="225"/>
      <c r="B39" s="114" t="s">
        <v>50</v>
      </c>
      <c r="C39" s="114">
        <f t="shared" ref="C39:D39" si="5">SUM(C31:C38)</f>
        <v>24</v>
      </c>
      <c r="D39" s="114">
        <f t="shared" si="5"/>
        <v>24</v>
      </c>
      <c r="E39" s="114"/>
      <c r="F39" s="115"/>
      <c r="G39" s="114"/>
      <c r="H39" s="121"/>
      <c r="I39" s="122"/>
      <c r="J39" s="122"/>
      <c r="K39" s="122"/>
      <c r="L39" s="122"/>
      <c r="M39" s="122"/>
      <c r="N39" s="123"/>
      <c r="O39" s="123"/>
      <c r="P39" s="122"/>
      <c r="Q39" s="122"/>
      <c r="R39" s="122"/>
      <c r="S39" s="122"/>
      <c r="T39" s="111"/>
      <c r="U39" s="111"/>
      <c r="V39" s="111"/>
      <c r="W39" s="111"/>
      <c r="X39" s="111"/>
      <c r="Y39" s="111"/>
      <c r="Z39" s="111"/>
    </row>
    <row r="40" spans="1:26" ht="16.5" customHeight="1">
      <c r="A40" s="226"/>
      <c r="B40" s="101" t="s">
        <v>185</v>
      </c>
      <c r="C40" s="116"/>
      <c r="D40" s="116"/>
      <c r="E40" s="116"/>
      <c r="F40" s="117"/>
      <c r="G40" s="116"/>
      <c r="H40" s="121"/>
      <c r="I40" s="122"/>
      <c r="J40" s="122"/>
      <c r="K40" s="122"/>
      <c r="L40" s="122"/>
      <c r="M40" s="122"/>
      <c r="N40" s="123"/>
      <c r="O40" s="123"/>
      <c r="P40" s="122"/>
      <c r="Q40" s="122"/>
      <c r="R40" s="122"/>
      <c r="S40" s="122"/>
      <c r="T40" s="111"/>
      <c r="U40" s="111"/>
      <c r="V40" s="111"/>
      <c r="W40" s="111"/>
      <c r="X40" s="111"/>
      <c r="Y40" s="111"/>
      <c r="Z40" s="111"/>
    </row>
    <row r="41" spans="1:26" ht="16.5" customHeight="1">
      <c r="A41" s="224" t="s">
        <v>192</v>
      </c>
      <c r="B41" s="124" t="s">
        <v>193</v>
      </c>
      <c r="C41" s="124">
        <v>2</v>
      </c>
      <c r="D41" s="124">
        <v>2</v>
      </c>
      <c r="E41" s="124" t="s">
        <v>194</v>
      </c>
      <c r="F41" s="125"/>
      <c r="G41" s="126"/>
      <c r="H41" s="127"/>
      <c r="I41" s="128"/>
      <c r="J41" s="128"/>
      <c r="K41" s="128"/>
      <c r="L41" s="128"/>
      <c r="M41" s="128"/>
      <c r="N41" s="129"/>
      <c r="O41" s="129"/>
      <c r="P41" s="128"/>
      <c r="Q41" s="128"/>
      <c r="R41" s="128"/>
      <c r="S41" s="128"/>
      <c r="T41" s="130"/>
      <c r="U41" s="130"/>
      <c r="V41" s="130"/>
      <c r="W41" s="130"/>
      <c r="X41" s="130"/>
      <c r="Y41" s="130"/>
      <c r="Z41" s="130"/>
    </row>
    <row r="42" spans="1:26" ht="16.5" customHeight="1">
      <c r="A42" s="225"/>
      <c r="B42" s="124" t="s">
        <v>195</v>
      </c>
      <c r="C42" s="124">
        <v>2</v>
      </c>
      <c r="D42" s="124">
        <v>2</v>
      </c>
      <c r="E42" s="124" t="s">
        <v>194</v>
      </c>
      <c r="F42" s="125" t="s">
        <v>136</v>
      </c>
      <c r="G42" s="126"/>
      <c r="H42" s="127"/>
      <c r="I42" s="128"/>
      <c r="J42" s="128"/>
      <c r="K42" s="128"/>
      <c r="L42" s="128"/>
      <c r="M42" s="128"/>
      <c r="N42" s="129"/>
      <c r="O42" s="129"/>
      <c r="P42" s="128"/>
      <c r="Q42" s="128"/>
      <c r="R42" s="128"/>
      <c r="S42" s="128"/>
      <c r="T42" s="130"/>
      <c r="U42" s="130"/>
      <c r="V42" s="130"/>
      <c r="W42" s="130"/>
      <c r="X42" s="130"/>
      <c r="Y42" s="130"/>
      <c r="Z42" s="130"/>
    </row>
    <row r="43" spans="1:26" ht="16.5" customHeight="1">
      <c r="A43" s="225"/>
      <c r="B43" s="124" t="s">
        <v>196</v>
      </c>
      <c r="C43" s="124">
        <v>4</v>
      </c>
      <c r="D43" s="124">
        <v>4</v>
      </c>
      <c r="E43" s="124" t="s">
        <v>197</v>
      </c>
      <c r="F43" s="125"/>
      <c r="G43" s="126"/>
      <c r="H43" s="127"/>
      <c r="I43" s="128"/>
      <c r="J43" s="128"/>
      <c r="K43" s="128"/>
      <c r="L43" s="128"/>
      <c r="M43" s="128"/>
      <c r="N43" s="129"/>
      <c r="O43" s="129"/>
      <c r="P43" s="128"/>
      <c r="Q43" s="128"/>
      <c r="R43" s="128"/>
      <c r="S43" s="128"/>
      <c r="T43" s="130"/>
      <c r="U43" s="130"/>
      <c r="V43" s="130"/>
      <c r="W43" s="130"/>
      <c r="X43" s="130"/>
      <c r="Y43" s="130"/>
      <c r="Z43" s="130"/>
    </row>
    <row r="44" spans="1:26" ht="16.5" customHeight="1">
      <c r="A44" s="225"/>
      <c r="B44" s="106" t="s">
        <v>198</v>
      </c>
      <c r="C44" s="106">
        <v>3</v>
      </c>
      <c r="D44" s="106">
        <v>3</v>
      </c>
      <c r="E44" s="106" t="s">
        <v>146</v>
      </c>
      <c r="F44" s="131" t="s">
        <v>136</v>
      </c>
      <c r="G44" s="132" t="s">
        <v>174</v>
      </c>
      <c r="H44" s="133"/>
      <c r="I44" s="134"/>
      <c r="J44" s="134"/>
      <c r="K44" s="134"/>
      <c r="L44" s="134"/>
      <c r="M44" s="134"/>
      <c r="N44" s="135"/>
      <c r="O44" s="135"/>
      <c r="P44" s="134"/>
      <c r="Q44" s="134"/>
      <c r="R44" s="134"/>
      <c r="S44" s="134"/>
    </row>
    <row r="45" spans="1:26" ht="16.5" customHeight="1">
      <c r="A45" s="225"/>
      <c r="B45" s="106" t="s">
        <v>199</v>
      </c>
      <c r="C45" s="106">
        <v>3</v>
      </c>
      <c r="D45" s="106">
        <v>3</v>
      </c>
      <c r="E45" s="106" t="s">
        <v>143</v>
      </c>
      <c r="F45" s="131" t="s">
        <v>136</v>
      </c>
      <c r="G45" s="132" t="s">
        <v>174</v>
      </c>
      <c r="H45" s="133"/>
      <c r="I45" s="134"/>
      <c r="J45" s="134"/>
      <c r="K45" s="134"/>
      <c r="L45" s="134"/>
      <c r="M45" s="134"/>
      <c r="N45" s="135"/>
      <c r="O45" s="135"/>
      <c r="P45" s="134"/>
      <c r="Q45" s="134"/>
      <c r="R45" s="134"/>
      <c r="S45" s="134"/>
    </row>
    <row r="46" spans="1:26" ht="16.5" customHeight="1">
      <c r="A46" s="225"/>
      <c r="B46" s="83" t="s">
        <v>200</v>
      </c>
      <c r="C46" s="83">
        <v>2</v>
      </c>
      <c r="D46" s="83">
        <v>2</v>
      </c>
      <c r="E46" s="83"/>
      <c r="F46" s="84"/>
      <c r="G46" s="79" t="s">
        <v>137</v>
      </c>
      <c r="H46" s="133"/>
      <c r="I46" s="134"/>
      <c r="J46" s="134"/>
      <c r="K46" s="134"/>
      <c r="L46" s="134"/>
      <c r="M46" s="134"/>
      <c r="N46" s="135"/>
      <c r="O46" s="135"/>
      <c r="P46" s="134"/>
      <c r="Q46" s="134"/>
      <c r="R46" s="134"/>
      <c r="S46" s="134"/>
    </row>
    <row r="47" spans="1:26" ht="16.5" customHeight="1">
      <c r="A47" s="225"/>
      <c r="B47" s="83" t="s">
        <v>103</v>
      </c>
      <c r="C47" s="83">
        <v>2</v>
      </c>
      <c r="D47" s="83">
        <v>2</v>
      </c>
      <c r="E47" s="83"/>
      <c r="F47" s="84" t="s">
        <v>136</v>
      </c>
      <c r="G47" s="79" t="s">
        <v>137</v>
      </c>
      <c r="H47" s="133"/>
      <c r="I47" s="134"/>
      <c r="J47" s="134"/>
      <c r="K47" s="134"/>
      <c r="L47" s="134"/>
      <c r="M47" s="134"/>
      <c r="N47" s="135"/>
      <c r="O47" s="135"/>
      <c r="P47" s="134"/>
      <c r="Q47" s="134"/>
      <c r="R47" s="134"/>
      <c r="S47" s="134"/>
    </row>
    <row r="48" spans="1:26" ht="16.5" customHeight="1">
      <c r="A48" s="225"/>
      <c r="B48" s="83" t="s">
        <v>201</v>
      </c>
      <c r="C48" s="83">
        <v>3</v>
      </c>
      <c r="D48" s="83">
        <v>3</v>
      </c>
      <c r="E48" s="106" t="s">
        <v>146</v>
      </c>
      <c r="F48" s="84" t="s">
        <v>202</v>
      </c>
      <c r="G48" s="79" t="s">
        <v>137</v>
      </c>
      <c r="H48" s="133"/>
      <c r="I48" s="134"/>
      <c r="J48" s="134"/>
      <c r="K48" s="134"/>
      <c r="L48" s="134"/>
      <c r="M48" s="134"/>
      <c r="N48" s="135"/>
      <c r="O48" s="135"/>
      <c r="P48" s="134"/>
      <c r="Q48" s="134"/>
      <c r="R48" s="134"/>
      <c r="S48" s="134"/>
    </row>
    <row r="49" spans="1:26" ht="16.5" customHeight="1">
      <c r="A49" s="225"/>
      <c r="B49" s="83" t="s">
        <v>203</v>
      </c>
      <c r="C49" s="83">
        <v>3</v>
      </c>
      <c r="D49" s="83">
        <v>3</v>
      </c>
      <c r="E49" s="83"/>
      <c r="F49" s="84" t="s">
        <v>136</v>
      </c>
      <c r="G49" s="79" t="s">
        <v>137</v>
      </c>
      <c r="H49" s="133"/>
      <c r="I49" s="134"/>
      <c r="J49" s="134"/>
      <c r="K49" s="134"/>
      <c r="L49" s="134"/>
      <c r="M49" s="134"/>
      <c r="N49" s="135"/>
      <c r="O49" s="135"/>
      <c r="P49" s="134"/>
      <c r="Q49" s="134"/>
      <c r="R49" s="134"/>
      <c r="S49" s="134"/>
    </row>
    <row r="50" spans="1:26" ht="16.5" customHeight="1">
      <c r="A50" s="225"/>
      <c r="B50" s="83" t="s">
        <v>204</v>
      </c>
      <c r="C50" s="83">
        <v>2</v>
      </c>
      <c r="D50" s="83">
        <v>2</v>
      </c>
      <c r="E50" s="83"/>
      <c r="F50" s="84"/>
      <c r="G50" s="79" t="s">
        <v>137</v>
      </c>
      <c r="H50" s="133"/>
      <c r="I50" s="134"/>
      <c r="J50" s="134"/>
      <c r="K50" s="134"/>
      <c r="L50" s="134"/>
      <c r="M50" s="134"/>
      <c r="N50" s="135"/>
      <c r="O50" s="135"/>
      <c r="P50" s="134"/>
      <c r="Q50" s="134"/>
      <c r="R50" s="134"/>
      <c r="S50" s="134"/>
    </row>
    <row r="51" spans="1:26" ht="16.5" customHeight="1">
      <c r="A51" s="225"/>
      <c r="B51" s="170" t="s">
        <v>205</v>
      </c>
      <c r="C51" s="83">
        <v>3</v>
      </c>
      <c r="D51" s="83">
        <v>3</v>
      </c>
      <c r="E51" s="136"/>
      <c r="F51" s="84" t="s">
        <v>136</v>
      </c>
      <c r="G51" s="79" t="s">
        <v>137</v>
      </c>
      <c r="H51" s="80"/>
      <c r="I51" s="68"/>
      <c r="J51" s="68"/>
      <c r="K51" s="68"/>
      <c r="L51" s="68"/>
      <c r="M51" s="68"/>
      <c r="N51" s="100"/>
      <c r="O51" s="100"/>
      <c r="P51" s="68"/>
      <c r="Q51" s="68"/>
      <c r="R51" s="68"/>
      <c r="S51" s="68"/>
    </row>
    <row r="52" spans="1:26" ht="16.5" customHeight="1">
      <c r="A52" s="225"/>
      <c r="B52" s="170" t="s">
        <v>206</v>
      </c>
      <c r="C52" s="83">
        <v>3</v>
      </c>
      <c r="D52" s="83">
        <v>3</v>
      </c>
      <c r="E52" s="136" t="s">
        <v>149</v>
      </c>
      <c r="F52" s="84" t="s">
        <v>136</v>
      </c>
      <c r="G52" s="79" t="s">
        <v>137</v>
      </c>
      <c r="H52" s="80"/>
      <c r="I52" s="68"/>
      <c r="J52" s="68"/>
      <c r="K52" s="68"/>
      <c r="L52" s="68"/>
      <c r="M52" s="68"/>
      <c r="N52" s="100"/>
      <c r="O52" s="100"/>
      <c r="P52" s="68"/>
      <c r="Q52" s="68"/>
      <c r="R52" s="68"/>
      <c r="S52" s="68"/>
    </row>
    <row r="53" spans="1:26" ht="16.5" customHeight="1">
      <c r="A53" s="225"/>
      <c r="B53" s="97" t="s">
        <v>50</v>
      </c>
      <c r="C53" s="97">
        <f t="shared" ref="C53:D53" si="6">SUM(C41:C52)</f>
        <v>32</v>
      </c>
      <c r="D53" s="97">
        <f t="shared" si="6"/>
        <v>32</v>
      </c>
      <c r="E53" s="97"/>
      <c r="F53" s="98"/>
      <c r="G53" s="99"/>
      <c r="H53" s="80"/>
      <c r="I53" s="68"/>
      <c r="J53" s="68"/>
      <c r="K53" s="68"/>
      <c r="L53" s="68"/>
      <c r="M53" s="68"/>
      <c r="N53" s="100"/>
      <c r="O53" s="100"/>
      <c r="P53" s="68"/>
      <c r="Q53" s="68"/>
      <c r="R53" s="68"/>
      <c r="S53" s="68"/>
    </row>
    <row r="54" spans="1:26" ht="16.5" customHeight="1">
      <c r="A54" s="226"/>
      <c r="B54" s="101" t="s">
        <v>207</v>
      </c>
      <c r="C54" s="102"/>
      <c r="D54" s="102"/>
      <c r="E54" s="102"/>
      <c r="F54" s="103"/>
      <c r="G54" s="104"/>
      <c r="H54" s="80"/>
      <c r="I54" s="68"/>
      <c r="J54" s="68"/>
      <c r="K54" s="68"/>
      <c r="L54" s="68"/>
      <c r="M54" s="68"/>
      <c r="N54" s="100"/>
      <c r="O54" s="100"/>
      <c r="P54" s="68"/>
      <c r="Q54" s="68"/>
      <c r="R54" s="68"/>
      <c r="S54" s="68"/>
    </row>
    <row r="55" spans="1:26" ht="16.5" customHeight="1">
      <c r="A55" s="224" t="s">
        <v>208</v>
      </c>
      <c r="B55" s="124" t="s">
        <v>193</v>
      </c>
      <c r="C55" s="124">
        <v>2</v>
      </c>
      <c r="D55" s="124">
        <v>2</v>
      </c>
      <c r="E55" s="124" t="s">
        <v>194</v>
      </c>
      <c r="F55" s="125"/>
      <c r="G55" s="126"/>
      <c r="H55" s="137"/>
      <c r="I55" s="138"/>
      <c r="J55" s="138"/>
      <c r="K55" s="138"/>
      <c r="L55" s="138"/>
      <c r="M55" s="138"/>
      <c r="N55" s="139"/>
      <c r="O55" s="139"/>
      <c r="P55" s="138"/>
      <c r="Q55" s="138"/>
      <c r="R55" s="138"/>
      <c r="S55" s="138"/>
      <c r="T55" s="130"/>
      <c r="U55" s="130"/>
      <c r="V55" s="130"/>
      <c r="W55" s="130"/>
      <c r="X55" s="130"/>
      <c r="Y55" s="130"/>
      <c r="Z55" s="130"/>
    </row>
    <row r="56" spans="1:26" ht="16.5" customHeight="1">
      <c r="A56" s="225"/>
      <c r="B56" s="124" t="s">
        <v>195</v>
      </c>
      <c r="C56" s="124">
        <v>2</v>
      </c>
      <c r="D56" s="124">
        <v>2</v>
      </c>
      <c r="E56" s="124" t="s">
        <v>194</v>
      </c>
      <c r="F56" s="125" t="s">
        <v>136</v>
      </c>
      <c r="G56" s="126"/>
      <c r="H56" s="137"/>
      <c r="I56" s="138"/>
      <c r="J56" s="138"/>
      <c r="K56" s="138"/>
      <c r="L56" s="138"/>
      <c r="M56" s="138"/>
      <c r="N56" s="139"/>
      <c r="O56" s="139"/>
      <c r="P56" s="138"/>
      <c r="Q56" s="138"/>
      <c r="R56" s="138"/>
      <c r="S56" s="138"/>
      <c r="T56" s="130"/>
      <c r="U56" s="130"/>
      <c r="V56" s="130"/>
      <c r="W56" s="130"/>
      <c r="X56" s="130"/>
      <c r="Y56" s="130"/>
      <c r="Z56" s="130"/>
    </row>
    <row r="57" spans="1:26" ht="16.5" customHeight="1">
      <c r="A57" s="225"/>
      <c r="B57" s="124" t="s">
        <v>196</v>
      </c>
      <c r="C57" s="124">
        <v>4</v>
      </c>
      <c r="D57" s="124">
        <v>4</v>
      </c>
      <c r="E57" s="124" t="s">
        <v>197</v>
      </c>
      <c r="F57" s="125"/>
      <c r="G57" s="126"/>
      <c r="H57" s="137"/>
      <c r="I57" s="138"/>
      <c r="J57" s="138"/>
      <c r="K57" s="138"/>
      <c r="L57" s="138"/>
      <c r="M57" s="138"/>
      <c r="N57" s="139"/>
      <c r="O57" s="139"/>
      <c r="P57" s="138"/>
      <c r="Q57" s="138"/>
      <c r="R57" s="138"/>
      <c r="S57" s="138"/>
      <c r="T57" s="130"/>
      <c r="U57" s="130"/>
      <c r="V57" s="130"/>
      <c r="W57" s="130"/>
      <c r="X57" s="130"/>
      <c r="Y57" s="130"/>
      <c r="Z57" s="130"/>
    </row>
    <row r="58" spans="1:26" ht="16.5" customHeight="1">
      <c r="A58" s="225"/>
      <c r="B58" s="106" t="s">
        <v>199</v>
      </c>
      <c r="C58" s="106">
        <v>3</v>
      </c>
      <c r="D58" s="106">
        <v>3</v>
      </c>
      <c r="E58" s="106" t="s">
        <v>187</v>
      </c>
      <c r="F58" s="131" t="s">
        <v>136</v>
      </c>
      <c r="G58" s="132" t="s">
        <v>174</v>
      </c>
      <c r="H58" s="80"/>
      <c r="I58" s="68"/>
      <c r="J58" s="68"/>
      <c r="K58" s="68"/>
      <c r="L58" s="68"/>
      <c r="M58" s="68"/>
      <c r="N58" s="100"/>
      <c r="O58" s="100"/>
      <c r="P58" s="68"/>
      <c r="Q58" s="68"/>
      <c r="R58" s="68"/>
      <c r="S58" s="68"/>
    </row>
    <row r="59" spans="1:26" ht="16.5" customHeight="1">
      <c r="A59" s="225"/>
      <c r="B59" s="106" t="s">
        <v>209</v>
      </c>
      <c r="C59" s="106">
        <v>3</v>
      </c>
      <c r="D59" s="106">
        <v>3</v>
      </c>
      <c r="E59" s="106" t="s">
        <v>173</v>
      </c>
      <c r="F59" s="131" t="s">
        <v>136</v>
      </c>
      <c r="G59" s="132" t="s">
        <v>174</v>
      </c>
      <c r="H59" s="80"/>
      <c r="I59" s="68"/>
      <c r="J59" s="68"/>
      <c r="K59" s="68"/>
      <c r="L59" s="68"/>
      <c r="M59" s="68"/>
      <c r="N59" s="100"/>
      <c r="O59" s="100"/>
      <c r="P59" s="68"/>
      <c r="Q59" s="68"/>
      <c r="R59" s="68"/>
      <c r="S59" s="68"/>
    </row>
    <row r="60" spans="1:26" ht="16.5" customHeight="1">
      <c r="A60" s="225"/>
      <c r="B60" s="83" t="s">
        <v>210</v>
      </c>
      <c r="C60" s="83">
        <v>3</v>
      </c>
      <c r="D60" s="83">
        <v>3</v>
      </c>
      <c r="E60" s="83"/>
      <c r="F60" s="84" t="s">
        <v>211</v>
      </c>
      <c r="G60" s="79" t="s">
        <v>137</v>
      </c>
      <c r="H60" s="80"/>
      <c r="I60" s="68"/>
      <c r="J60" s="68"/>
      <c r="K60" s="68"/>
      <c r="L60" s="68"/>
      <c r="M60" s="68"/>
      <c r="N60" s="100"/>
      <c r="O60" s="100"/>
      <c r="P60" s="68"/>
      <c r="Q60" s="68"/>
      <c r="R60" s="68"/>
      <c r="S60" s="68"/>
    </row>
    <row r="61" spans="1:26" ht="16.5" customHeight="1">
      <c r="A61" s="225"/>
      <c r="B61" s="83" t="s">
        <v>212</v>
      </c>
      <c r="C61" s="83">
        <v>2</v>
      </c>
      <c r="D61" s="83">
        <v>2</v>
      </c>
      <c r="E61" s="83"/>
      <c r="F61" s="84" t="s">
        <v>213</v>
      </c>
      <c r="G61" s="79" t="s">
        <v>137</v>
      </c>
      <c r="H61" s="80"/>
      <c r="I61" s="68"/>
      <c r="J61" s="68"/>
      <c r="K61" s="68"/>
      <c r="L61" s="68"/>
      <c r="M61" s="68"/>
      <c r="N61" s="100"/>
      <c r="O61" s="100"/>
      <c r="P61" s="68"/>
      <c r="Q61" s="68"/>
      <c r="R61" s="68"/>
      <c r="S61" s="68"/>
    </row>
    <row r="62" spans="1:26" ht="16.5" customHeight="1">
      <c r="A62" s="225"/>
      <c r="B62" s="83" t="s">
        <v>214</v>
      </c>
      <c r="C62" s="83">
        <v>3</v>
      </c>
      <c r="D62" s="83">
        <v>3</v>
      </c>
      <c r="E62" s="83"/>
      <c r="F62" s="84" t="s">
        <v>215</v>
      </c>
      <c r="G62" s="79" t="s">
        <v>137</v>
      </c>
      <c r="H62" s="80"/>
      <c r="I62" s="68"/>
      <c r="J62" s="68"/>
      <c r="K62" s="68"/>
      <c r="L62" s="68"/>
      <c r="M62" s="68"/>
      <c r="N62" s="100"/>
      <c r="O62" s="100"/>
      <c r="P62" s="68"/>
      <c r="Q62" s="68"/>
      <c r="R62" s="68"/>
      <c r="S62" s="68"/>
    </row>
    <row r="63" spans="1:26" ht="16.5" customHeight="1">
      <c r="A63" s="225"/>
      <c r="B63" s="140" t="s">
        <v>216</v>
      </c>
      <c r="C63" s="140">
        <v>3</v>
      </c>
      <c r="D63" s="140">
        <v>3</v>
      </c>
      <c r="E63" s="140"/>
      <c r="F63" s="84" t="s">
        <v>136</v>
      </c>
      <c r="G63" s="79" t="s">
        <v>137</v>
      </c>
      <c r="H63" s="80"/>
      <c r="I63" s="68"/>
      <c r="J63" s="68"/>
      <c r="K63" s="68"/>
      <c r="L63" s="68"/>
      <c r="M63" s="68"/>
      <c r="N63" s="100"/>
      <c r="O63" s="100"/>
      <c r="P63" s="68"/>
      <c r="Q63" s="68"/>
      <c r="R63" s="68"/>
      <c r="S63" s="68"/>
    </row>
    <row r="64" spans="1:26" ht="16.5" customHeight="1">
      <c r="A64" s="225"/>
      <c r="B64" s="83" t="s">
        <v>217</v>
      </c>
      <c r="C64" s="83">
        <v>2</v>
      </c>
      <c r="D64" s="83">
        <v>2</v>
      </c>
      <c r="E64" s="83"/>
      <c r="F64" s="84" t="s">
        <v>136</v>
      </c>
      <c r="G64" s="79" t="s">
        <v>137</v>
      </c>
      <c r="H64" s="80"/>
      <c r="I64" s="68"/>
      <c r="J64" s="68"/>
      <c r="K64" s="68"/>
      <c r="L64" s="68"/>
      <c r="M64" s="68"/>
      <c r="N64" s="100"/>
      <c r="O64" s="100"/>
      <c r="P64" s="68"/>
      <c r="Q64" s="68"/>
      <c r="R64" s="68"/>
      <c r="S64" s="68"/>
    </row>
    <row r="65" spans="1:26" ht="16.5" customHeight="1">
      <c r="A65" s="225"/>
      <c r="B65" s="170" t="s">
        <v>205</v>
      </c>
      <c r="C65" s="83">
        <v>3</v>
      </c>
      <c r="D65" s="83">
        <v>3</v>
      </c>
      <c r="E65" s="136"/>
      <c r="F65" s="84" t="s">
        <v>136</v>
      </c>
      <c r="G65" s="79" t="s">
        <v>137</v>
      </c>
      <c r="H65" s="80"/>
      <c r="I65" s="68"/>
      <c r="J65" s="68"/>
      <c r="K65" s="68"/>
      <c r="L65" s="68"/>
      <c r="M65" s="68"/>
      <c r="N65" s="100"/>
      <c r="O65" s="100"/>
      <c r="P65" s="68"/>
      <c r="Q65" s="68"/>
      <c r="R65" s="68"/>
      <c r="S65" s="68"/>
      <c r="T65" s="141"/>
      <c r="U65" s="141"/>
      <c r="V65" s="141"/>
      <c r="W65" s="141"/>
      <c r="X65" s="141"/>
      <c r="Y65" s="141"/>
      <c r="Z65" s="141"/>
    </row>
    <row r="66" spans="1:26" ht="16.5" customHeight="1">
      <c r="A66" s="225"/>
      <c r="B66" s="142" t="s">
        <v>218</v>
      </c>
      <c r="C66" s="142">
        <v>3</v>
      </c>
      <c r="D66" s="142">
        <v>3</v>
      </c>
      <c r="E66" s="143" t="s">
        <v>149</v>
      </c>
      <c r="F66" s="84" t="s">
        <v>136</v>
      </c>
      <c r="G66" s="79" t="s">
        <v>137</v>
      </c>
      <c r="H66" s="80"/>
      <c r="I66" s="68"/>
      <c r="J66" s="68"/>
      <c r="K66" s="68"/>
      <c r="L66" s="68"/>
      <c r="M66" s="68"/>
      <c r="N66" s="100"/>
      <c r="O66" s="100"/>
      <c r="P66" s="68"/>
      <c r="Q66" s="68"/>
      <c r="R66" s="68"/>
      <c r="S66" s="68"/>
    </row>
    <row r="67" spans="1:26" ht="16.5" customHeight="1">
      <c r="A67" s="225"/>
      <c r="B67" s="170" t="s">
        <v>206</v>
      </c>
      <c r="C67" s="83">
        <v>3</v>
      </c>
      <c r="D67" s="83">
        <v>3</v>
      </c>
      <c r="E67" s="136" t="s">
        <v>187</v>
      </c>
      <c r="F67" s="84" t="s">
        <v>136</v>
      </c>
      <c r="G67" s="79" t="s">
        <v>137</v>
      </c>
      <c r="H67" s="80"/>
      <c r="I67" s="68"/>
      <c r="J67" s="68"/>
      <c r="K67" s="68"/>
      <c r="L67" s="68"/>
      <c r="M67" s="68"/>
      <c r="N67" s="100"/>
      <c r="O67" s="100"/>
      <c r="P67" s="68"/>
      <c r="Q67" s="68"/>
      <c r="R67" s="68"/>
      <c r="S67" s="68"/>
    </row>
    <row r="68" spans="1:26" ht="16.5" customHeight="1">
      <c r="A68" s="225"/>
      <c r="B68" s="97" t="s">
        <v>50</v>
      </c>
      <c r="C68" s="97">
        <f t="shared" ref="C68:D68" si="7">SUM(C55:C67)</f>
        <v>36</v>
      </c>
      <c r="D68" s="97">
        <f t="shared" si="7"/>
        <v>36</v>
      </c>
      <c r="E68" s="97"/>
      <c r="F68" s="98"/>
      <c r="G68" s="99"/>
      <c r="H68" s="80"/>
      <c r="I68" s="68"/>
      <c r="J68" s="68"/>
      <c r="K68" s="68"/>
      <c r="L68" s="68"/>
      <c r="M68" s="68"/>
      <c r="N68" s="100"/>
      <c r="O68" s="100"/>
      <c r="P68" s="68"/>
      <c r="Q68" s="68"/>
      <c r="R68" s="68"/>
      <c r="S68" s="68"/>
    </row>
    <row r="69" spans="1:26" ht="16.5" customHeight="1">
      <c r="A69" s="226"/>
      <c r="B69" s="101" t="s">
        <v>207</v>
      </c>
      <c r="C69" s="102"/>
      <c r="D69" s="102"/>
      <c r="E69" s="102"/>
      <c r="F69" s="103"/>
      <c r="G69" s="104"/>
      <c r="H69" s="80"/>
      <c r="I69" s="68"/>
      <c r="J69" s="68"/>
      <c r="K69" s="68"/>
      <c r="L69" s="68"/>
      <c r="M69" s="68"/>
      <c r="N69" s="100"/>
      <c r="O69" s="100"/>
      <c r="P69" s="68"/>
      <c r="Q69" s="68"/>
      <c r="R69" s="68"/>
      <c r="S69" s="68"/>
    </row>
    <row r="70" spans="1:26" ht="16.5" customHeight="1">
      <c r="A70" s="227" t="s">
        <v>219</v>
      </c>
      <c r="B70" s="144" t="s">
        <v>220</v>
      </c>
      <c r="C70" s="144">
        <v>2</v>
      </c>
      <c r="D70" s="144">
        <v>2</v>
      </c>
      <c r="E70" s="144" t="s">
        <v>194</v>
      </c>
      <c r="F70" s="145" t="s">
        <v>136</v>
      </c>
      <c r="G70" s="144"/>
      <c r="H70" s="146"/>
      <c r="I70" s="147"/>
      <c r="J70" s="147"/>
      <c r="K70" s="147"/>
      <c r="L70" s="147"/>
      <c r="M70" s="147"/>
      <c r="N70" s="148"/>
      <c r="O70" s="148"/>
      <c r="P70" s="147"/>
      <c r="Q70" s="147"/>
      <c r="R70" s="147"/>
      <c r="S70" s="147"/>
      <c r="T70" s="149"/>
      <c r="U70" s="149"/>
      <c r="V70" s="149"/>
      <c r="W70" s="149"/>
      <c r="X70" s="149"/>
      <c r="Y70" s="149"/>
      <c r="Z70" s="149"/>
    </row>
    <row r="71" spans="1:26" ht="16.5" customHeight="1">
      <c r="A71" s="225"/>
      <c r="B71" s="105" t="s">
        <v>199</v>
      </c>
      <c r="C71" s="105">
        <v>3</v>
      </c>
      <c r="D71" s="105">
        <v>3</v>
      </c>
      <c r="E71" s="105" t="s">
        <v>143</v>
      </c>
      <c r="F71" s="107" t="s">
        <v>136</v>
      </c>
      <c r="G71" s="105" t="s">
        <v>174</v>
      </c>
      <c r="H71" s="108"/>
      <c r="I71" s="109"/>
      <c r="J71" s="109"/>
      <c r="K71" s="109"/>
      <c r="L71" s="109"/>
      <c r="M71" s="109"/>
      <c r="N71" s="110"/>
      <c r="O71" s="110"/>
      <c r="P71" s="109"/>
      <c r="Q71" s="109"/>
      <c r="R71" s="109"/>
      <c r="S71" s="109"/>
      <c r="T71" s="111"/>
      <c r="U71" s="111"/>
      <c r="V71" s="111"/>
      <c r="W71" s="111"/>
      <c r="X71" s="111"/>
      <c r="Y71" s="111"/>
      <c r="Z71" s="111"/>
    </row>
    <row r="72" spans="1:26" ht="16.5" customHeight="1">
      <c r="A72" s="225"/>
      <c r="B72" s="105" t="s">
        <v>166</v>
      </c>
      <c r="C72" s="105">
        <v>6</v>
      </c>
      <c r="D72" s="105">
        <v>24</v>
      </c>
      <c r="E72" s="105" t="s">
        <v>221</v>
      </c>
      <c r="F72" s="107"/>
      <c r="G72" s="105" t="s">
        <v>174</v>
      </c>
      <c r="H72" s="118"/>
      <c r="I72" s="119"/>
      <c r="J72" s="119"/>
      <c r="K72" s="119"/>
      <c r="L72" s="119"/>
      <c r="M72" s="119"/>
      <c r="N72" s="120"/>
      <c r="O72" s="120"/>
      <c r="P72" s="119"/>
      <c r="Q72" s="119"/>
      <c r="R72" s="119"/>
      <c r="S72" s="119"/>
      <c r="T72" s="111"/>
      <c r="U72" s="111"/>
      <c r="V72" s="111"/>
      <c r="W72" s="111"/>
      <c r="X72" s="111"/>
      <c r="Y72" s="111"/>
      <c r="Z72" s="111"/>
    </row>
    <row r="73" spans="1:26" ht="16.5" customHeight="1">
      <c r="A73" s="225"/>
      <c r="B73" s="112" t="s">
        <v>210</v>
      </c>
      <c r="C73" s="112">
        <v>3</v>
      </c>
      <c r="D73" s="112">
        <v>3</v>
      </c>
      <c r="E73" s="112"/>
      <c r="F73" s="113" t="s">
        <v>136</v>
      </c>
      <c r="G73" s="112" t="s">
        <v>137</v>
      </c>
      <c r="H73" s="121"/>
      <c r="I73" s="122"/>
      <c r="J73" s="122"/>
      <c r="K73" s="122"/>
      <c r="L73" s="122"/>
      <c r="M73" s="122"/>
      <c r="N73" s="123"/>
      <c r="O73" s="123"/>
      <c r="P73" s="122"/>
      <c r="Q73" s="122"/>
      <c r="R73" s="122"/>
      <c r="S73" s="122"/>
      <c r="T73" s="111"/>
      <c r="U73" s="111"/>
      <c r="V73" s="111"/>
      <c r="W73" s="111"/>
      <c r="X73" s="111"/>
      <c r="Y73" s="111"/>
      <c r="Z73" s="111"/>
    </row>
    <row r="74" spans="1:26" ht="16.5" customHeight="1">
      <c r="A74" s="225"/>
      <c r="B74" s="112" t="s">
        <v>214</v>
      </c>
      <c r="C74" s="112">
        <v>3</v>
      </c>
      <c r="D74" s="112">
        <v>3</v>
      </c>
      <c r="E74" s="112"/>
      <c r="F74" s="113" t="s">
        <v>136</v>
      </c>
      <c r="G74" s="112" t="s">
        <v>137</v>
      </c>
      <c r="H74" s="121"/>
      <c r="I74" s="122"/>
      <c r="J74" s="122"/>
      <c r="K74" s="122"/>
      <c r="L74" s="122"/>
      <c r="M74" s="122"/>
      <c r="N74" s="123"/>
      <c r="O74" s="123"/>
      <c r="P74" s="122"/>
      <c r="Q74" s="122"/>
      <c r="R74" s="122"/>
      <c r="S74" s="122"/>
      <c r="T74" s="111"/>
      <c r="U74" s="111"/>
      <c r="V74" s="111"/>
      <c r="W74" s="111"/>
      <c r="X74" s="111"/>
      <c r="Y74" s="111"/>
      <c r="Z74" s="111"/>
    </row>
    <row r="75" spans="1:26" ht="16.5" customHeight="1">
      <c r="A75" s="225"/>
      <c r="B75" s="112" t="s">
        <v>216</v>
      </c>
      <c r="C75" s="112">
        <v>3</v>
      </c>
      <c r="D75" s="112">
        <v>3</v>
      </c>
      <c r="E75" s="112"/>
      <c r="F75" s="113" t="s">
        <v>215</v>
      </c>
      <c r="G75" s="112" t="s">
        <v>137</v>
      </c>
      <c r="H75" s="121"/>
      <c r="I75" s="122"/>
      <c r="J75" s="122"/>
      <c r="K75" s="122"/>
      <c r="L75" s="122"/>
      <c r="M75" s="122"/>
      <c r="N75" s="123"/>
      <c r="O75" s="123"/>
      <c r="P75" s="122"/>
      <c r="Q75" s="122"/>
      <c r="R75" s="122"/>
      <c r="S75" s="122"/>
      <c r="T75" s="111"/>
      <c r="U75" s="111"/>
      <c r="V75" s="111"/>
      <c r="W75" s="111"/>
      <c r="X75" s="111"/>
      <c r="Y75" s="111"/>
      <c r="Z75" s="111"/>
    </row>
    <row r="76" spans="1:26" ht="16.5" customHeight="1">
      <c r="A76" s="225"/>
      <c r="B76" s="112" t="s">
        <v>205</v>
      </c>
      <c r="C76" s="112">
        <v>3</v>
      </c>
      <c r="D76" s="112">
        <v>3</v>
      </c>
      <c r="E76" s="136"/>
      <c r="F76" s="113" t="s">
        <v>136</v>
      </c>
      <c r="G76" s="112" t="s">
        <v>137</v>
      </c>
      <c r="H76" s="121"/>
      <c r="I76" s="122"/>
      <c r="J76" s="122"/>
      <c r="K76" s="122"/>
      <c r="L76" s="122"/>
      <c r="M76" s="122"/>
      <c r="N76" s="123"/>
      <c r="O76" s="123"/>
      <c r="P76" s="122"/>
      <c r="Q76" s="122"/>
      <c r="R76" s="122"/>
      <c r="S76" s="122"/>
      <c r="T76" s="111"/>
      <c r="U76" s="111"/>
      <c r="V76" s="111"/>
      <c r="W76" s="111"/>
      <c r="X76" s="111"/>
      <c r="Y76" s="111"/>
      <c r="Z76" s="111"/>
    </row>
    <row r="77" spans="1:26" ht="16.5" customHeight="1">
      <c r="A77" s="225"/>
      <c r="B77" s="112" t="s">
        <v>222</v>
      </c>
      <c r="C77" s="112">
        <v>3</v>
      </c>
      <c r="D77" s="112">
        <v>3</v>
      </c>
      <c r="E77" s="143" t="s">
        <v>149</v>
      </c>
      <c r="F77" s="113" t="s">
        <v>136</v>
      </c>
      <c r="G77" s="112" t="s">
        <v>137</v>
      </c>
      <c r="H77" s="121"/>
      <c r="I77" s="122"/>
      <c r="J77" s="122"/>
      <c r="K77" s="122"/>
      <c r="L77" s="122"/>
      <c r="M77" s="122"/>
      <c r="N77" s="123"/>
      <c r="O77" s="123"/>
      <c r="P77" s="122"/>
      <c r="Q77" s="122"/>
      <c r="R77" s="122"/>
      <c r="S77" s="122"/>
      <c r="T77" s="111"/>
      <c r="U77" s="111"/>
      <c r="V77" s="111"/>
      <c r="W77" s="111"/>
      <c r="X77" s="111"/>
      <c r="Y77" s="111"/>
      <c r="Z77" s="111"/>
    </row>
    <row r="78" spans="1:26" ht="16.5" customHeight="1">
      <c r="A78" s="225"/>
      <c r="B78" s="114" t="s">
        <v>50</v>
      </c>
      <c r="C78" s="114">
        <f t="shared" ref="C78:D78" si="8">SUM(C70:C77)</f>
        <v>26</v>
      </c>
      <c r="D78" s="114">
        <f t="shared" si="8"/>
        <v>44</v>
      </c>
      <c r="E78" s="114"/>
      <c r="F78" s="115"/>
      <c r="G78" s="114"/>
      <c r="H78" s="121"/>
      <c r="I78" s="122"/>
      <c r="J78" s="122"/>
      <c r="K78" s="122"/>
      <c r="L78" s="122"/>
      <c r="M78" s="122"/>
      <c r="N78" s="123"/>
      <c r="O78" s="123"/>
      <c r="P78" s="122"/>
      <c r="Q78" s="122"/>
      <c r="R78" s="122"/>
      <c r="S78" s="122"/>
      <c r="T78" s="111"/>
      <c r="U78" s="111"/>
      <c r="V78" s="111"/>
      <c r="W78" s="111"/>
      <c r="X78" s="111"/>
      <c r="Y78" s="111"/>
      <c r="Z78" s="111"/>
    </row>
    <row r="79" spans="1:26" ht="16.5" customHeight="1">
      <c r="A79" s="226"/>
      <c r="B79" s="101" t="s">
        <v>223</v>
      </c>
      <c r="C79" s="116"/>
      <c r="D79" s="116"/>
      <c r="E79" s="116"/>
      <c r="F79" s="117"/>
      <c r="G79" s="116"/>
      <c r="H79" s="121"/>
      <c r="I79" s="122"/>
      <c r="J79" s="122"/>
      <c r="K79" s="122"/>
      <c r="L79" s="122"/>
      <c r="M79" s="122"/>
      <c r="N79" s="123"/>
      <c r="O79" s="123"/>
      <c r="P79" s="122"/>
      <c r="Q79" s="122"/>
      <c r="R79" s="122"/>
      <c r="S79" s="122"/>
      <c r="T79" s="111"/>
      <c r="U79" s="111"/>
      <c r="V79" s="111"/>
      <c r="W79" s="111"/>
      <c r="X79" s="111"/>
      <c r="Y79" s="111"/>
      <c r="Z79" s="111"/>
    </row>
    <row r="80" spans="1:26" ht="16.5" customHeight="1">
      <c r="A80" s="224" t="s">
        <v>224</v>
      </c>
      <c r="B80" s="124" t="s">
        <v>225</v>
      </c>
      <c r="C80" s="124">
        <v>2</v>
      </c>
      <c r="D80" s="124">
        <v>2</v>
      </c>
      <c r="E80" s="124" t="s">
        <v>194</v>
      </c>
      <c r="F80" s="125"/>
      <c r="G80" s="126"/>
      <c r="H80" s="127"/>
      <c r="I80" s="128"/>
      <c r="J80" s="128"/>
      <c r="K80" s="128"/>
      <c r="L80" s="128"/>
      <c r="M80" s="128"/>
      <c r="N80" s="129"/>
      <c r="O80" s="129"/>
      <c r="P80" s="128"/>
      <c r="Q80" s="128"/>
      <c r="R80" s="128"/>
      <c r="S80" s="128"/>
      <c r="T80" s="130"/>
      <c r="U80" s="130"/>
      <c r="V80" s="130"/>
      <c r="W80" s="130"/>
      <c r="X80" s="130"/>
      <c r="Y80" s="130"/>
      <c r="Z80" s="130"/>
    </row>
    <row r="81" spans="1:26" ht="16.5" customHeight="1">
      <c r="A81" s="225"/>
      <c r="B81" s="124" t="s">
        <v>193</v>
      </c>
      <c r="C81" s="124">
        <v>2</v>
      </c>
      <c r="D81" s="124">
        <v>2</v>
      </c>
      <c r="E81" s="124" t="s">
        <v>194</v>
      </c>
      <c r="F81" s="125"/>
      <c r="G81" s="126"/>
      <c r="H81" s="127"/>
      <c r="I81" s="128"/>
      <c r="J81" s="128"/>
      <c r="K81" s="128"/>
      <c r="L81" s="128"/>
      <c r="M81" s="128"/>
      <c r="N81" s="129"/>
      <c r="O81" s="129"/>
      <c r="P81" s="128"/>
      <c r="Q81" s="128"/>
      <c r="R81" s="128"/>
      <c r="S81" s="128"/>
      <c r="T81" s="130"/>
      <c r="U81" s="130"/>
      <c r="V81" s="130"/>
      <c r="W81" s="130"/>
      <c r="X81" s="130"/>
      <c r="Y81" s="130"/>
      <c r="Z81" s="130"/>
    </row>
    <row r="82" spans="1:26" ht="16.5" customHeight="1">
      <c r="A82" s="225"/>
      <c r="B82" s="124" t="s">
        <v>226</v>
      </c>
      <c r="C82" s="124">
        <v>2</v>
      </c>
      <c r="D82" s="124">
        <v>2</v>
      </c>
      <c r="E82" s="124" t="s">
        <v>194</v>
      </c>
      <c r="F82" s="125"/>
      <c r="G82" s="126"/>
      <c r="H82" s="127"/>
      <c r="I82" s="128"/>
      <c r="J82" s="128"/>
      <c r="K82" s="128"/>
      <c r="L82" s="128"/>
      <c r="M82" s="128"/>
      <c r="N82" s="129"/>
      <c r="O82" s="129"/>
      <c r="P82" s="128"/>
      <c r="Q82" s="128"/>
      <c r="R82" s="128"/>
      <c r="S82" s="128"/>
      <c r="T82" s="130"/>
      <c r="U82" s="130"/>
      <c r="V82" s="130"/>
      <c r="W82" s="130"/>
      <c r="X82" s="130"/>
      <c r="Y82" s="130"/>
      <c r="Z82" s="130"/>
    </row>
    <row r="83" spans="1:26" ht="16.5" customHeight="1">
      <c r="A83" s="225"/>
      <c r="B83" s="124" t="s">
        <v>227</v>
      </c>
      <c r="C83" s="124">
        <v>1</v>
      </c>
      <c r="D83" s="124">
        <v>1</v>
      </c>
      <c r="E83" s="124" t="s">
        <v>146</v>
      </c>
      <c r="F83" s="125"/>
      <c r="G83" s="126"/>
      <c r="H83" s="127"/>
      <c r="I83" s="128"/>
      <c r="J83" s="128"/>
      <c r="K83" s="128"/>
      <c r="L83" s="128"/>
      <c r="M83" s="128"/>
      <c r="N83" s="129"/>
      <c r="O83" s="129"/>
      <c r="P83" s="128"/>
      <c r="Q83" s="128"/>
      <c r="R83" s="128"/>
      <c r="S83" s="128"/>
      <c r="T83" s="130"/>
      <c r="U83" s="130"/>
      <c r="V83" s="130"/>
      <c r="W83" s="130"/>
      <c r="X83" s="130"/>
      <c r="Y83" s="130"/>
      <c r="Z83" s="130"/>
    </row>
    <row r="84" spans="1:26" ht="16.5" customHeight="1">
      <c r="A84" s="225"/>
      <c r="B84" s="124" t="s">
        <v>228</v>
      </c>
      <c r="C84" s="124">
        <v>2</v>
      </c>
      <c r="D84" s="124">
        <v>2</v>
      </c>
      <c r="E84" s="124" t="s">
        <v>194</v>
      </c>
      <c r="F84" s="125" t="s">
        <v>136</v>
      </c>
      <c r="G84" s="126"/>
      <c r="H84" s="127"/>
      <c r="I84" s="128"/>
      <c r="J84" s="128"/>
      <c r="K84" s="128"/>
      <c r="L84" s="128"/>
      <c r="M84" s="128"/>
      <c r="N84" s="129"/>
      <c r="O84" s="129"/>
      <c r="P84" s="128"/>
      <c r="Q84" s="128"/>
      <c r="R84" s="128"/>
      <c r="S84" s="128"/>
      <c r="T84" s="130"/>
      <c r="U84" s="130"/>
      <c r="V84" s="130"/>
      <c r="W84" s="130"/>
      <c r="X84" s="130"/>
      <c r="Y84" s="130"/>
      <c r="Z84" s="130"/>
    </row>
    <row r="85" spans="1:26" ht="16.5" customHeight="1">
      <c r="A85" s="225"/>
      <c r="B85" s="106" t="s">
        <v>229</v>
      </c>
      <c r="C85" s="106">
        <v>3</v>
      </c>
      <c r="D85" s="106">
        <v>3</v>
      </c>
      <c r="E85" s="106" t="s">
        <v>173</v>
      </c>
      <c r="F85" s="131" t="s">
        <v>136</v>
      </c>
      <c r="G85" s="132" t="s">
        <v>174</v>
      </c>
      <c r="H85" s="133"/>
      <c r="I85" s="134"/>
      <c r="J85" s="134"/>
      <c r="K85" s="134"/>
      <c r="L85" s="134"/>
      <c r="M85" s="134"/>
      <c r="N85" s="135"/>
      <c r="O85" s="135"/>
      <c r="P85" s="134"/>
      <c r="Q85" s="134"/>
      <c r="R85" s="134"/>
      <c r="S85" s="134"/>
    </row>
    <row r="86" spans="1:26" ht="16.5" customHeight="1">
      <c r="A86" s="225"/>
      <c r="B86" s="106" t="s">
        <v>230</v>
      </c>
      <c r="C86" s="106">
        <v>3</v>
      </c>
      <c r="D86" s="106">
        <v>3</v>
      </c>
      <c r="E86" s="106" t="s">
        <v>231</v>
      </c>
      <c r="F86" s="131" t="s">
        <v>232</v>
      </c>
      <c r="G86" s="132" t="s">
        <v>174</v>
      </c>
      <c r="H86" s="133"/>
      <c r="I86" s="134"/>
      <c r="J86" s="134"/>
      <c r="K86" s="134"/>
      <c r="L86" s="134"/>
      <c r="M86" s="134"/>
      <c r="N86" s="135"/>
      <c r="O86" s="135"/>
      <c r="P86" s="134"/>
      <c r="Q86" s="134"/>
      <c r="R86" s="134"/>
      <c r="S86" s="134"/>
    </row>
    <row r="87" spans="1:26" ht="16.5" customHeight="1">
      <c r="A87" s="225"/>
      <c r="B87" s="106" t="s">
        <v>233</v>
      </c>
      <c r="C87" s="106">
        <v>3</v>
      </c>
      <c r="D87" s="106">
        <v>3</v>
      </c>
      <c r="E87" s="106" t="s">
        <v>231</v>
      </c>
      <c r="F87" s="131" t="s">
        <v>136</v>
      </c>
      <c r="G87" s="132" t="s">
        <v>174</v>
      </c>
      <c r="H87" s="80"/>
      <c r="I87" s="150"/>
      <c r="J87" s="150"/>
      <c r="K87" s="150"/>
      <c r="L87" s="150"/>
      <c r="M87" s="150"/>
      <c r="N87" s="80"/>
      <c r="O87" s="80"/>
      <c r="P87" s="150"/>
      <c r="Q87" s="150"/>
      <c r="R87" s="151"/>
      <c r="S87" s="151"/>
    </row>
    <row r="88" spans="1:26" ht="16.5" customHeight="1">
      <c r="A88" s="225"/>
      <c r="B88" s="106" t="s">
        <v>234</v>
      </c>
      <c r="C88" s="106">
        <v>3</v>
      </c>
      <c r="D88" s="106">
        <v>3</v>
      </c>
      <c r="E88" s="106" t="s">
        <v>184</v>
      </c>
      <c r="F88" s="131"/>
      <c r="G88" s="132" t="s">
        <v>174</v>
      </c>
      <c r="H88" s="80"/>
      <c r="I88" s="68"/>
      <c r="J88" s="68"/>
      <c r="K88" s="68"/>
      <c r="L88" s="68"/>
      <c r="M88" s="68"/>
      <c r="N88" s="100"/>
      <c r="O88" s="100"/>
      <c r="P88" s="68"/>
      <c r="Q88" s="68"/>
      <c r="R88" s="68"/>
      <c r="S88" s="68"/>
    </row>
    <row r="89" spans="1:26" ht="16.5" customHeight="1">
      <c r="A89" s="225"/>
      <c r="B89" s="97" t="s">
        <v>50</v>
      </c>
      <c r="C89" s="97">
        <f t="shared" ref="C89:D89" si="9">SUM(C80:C88)</f>
        <v>21</v>
      </c>
      <c r="D89" s="97">
        <f t="shared" si="9"/>
        <v>21</v>
      </c>
      <c r="E89" s="97"/>
      <c r="F89" s="98"/>
      <c r="G89" s="99"/>
      <c r="H89" s="67"/>
      <c r="I89" s="68"/>
      <c r="J89" s="68"/>
      <c r="K89" s="68"/>
      <c r="L89" s="68"/>
      <c r="M89" s="68"/>
      <c r="N89" s="100"/>
      <c r="O89" s="100"/>
      <c r="P89" s="68"/>
      <c r="Q89" s="68"/>
      <c r="R89" s="68"/>
      <c r="S89" s="68"/>
    </row>
    <row r="90" spans="1:26" ht="16.5" customHeight="1">
      <c r="A90" s="226"/>
      <c r="B90" s="101" t="s">
        <v>235</v>
      </c>
      <c r="C90" s="102"/>
      <c r="D90" s="102"/>
      <c r="E90" s="102"/>
      <c r="F90" s="103"/>
      <c r="G90" s="104"/>
      <c r="H90" s="67"/>
      <c r="I90" s="68"/>
      <c r="J90" s="68"/>
      <c r="K90" s="68"/>
      <c r="L90" s="68"/>
      <c r="M90" s="68"/>
      <c r="N90" s="100"/>
      <c r="O90" s="100"/>
      <c r="P90" s="68"/>
      <c r="Q90" s="68"/>
      <c r="R90" s="68"/>
      <c r="S90" s="68"/>
    </row>
    <row r="91" spans="1:26" ht="16.5" customHeight="1">
      <c r="A91" s="224" t="s">
        <v>236</v>
      </c>
      <c r="B91" s="124" t="s">
        <v>225</v>
      </c>
      <c r="C91" s="124">
        <v>2</v>
      </c>
      <c r="D91" s="124">
        <v>2</v>
      </c>
      <c r="E91" s="124" t="s">
        <v>194</v>
      </c>
      <c r="F91" s="125"/>
      <c r="G91" s="126"/>
      <c r="H91" s="139"/>
      <c r="I91" s="138"/>
      <c r="J91" s="138"/>
      <c r="K91" s="138"/>
      <c r="L91" s="138"/>
      <c r="M91" s="138"/>
      <c r="N91" s="139"/>
      <c r="O91" s="139"/>
      <c r="P91" s="138"/>
      <c r="Q91" s="138"/>
      <c r="R91" s="138"/>
      <c r="S91" s="138"/>
      <c r="T91" s="130"/>
      <c r="U91" s="130"/>
      <c r="V91" s="130"/>
      <c r="W91" s="130"/>
      <c r="X91" s="130"/>
      <c r="Y91" s="130"/>
      <c r="Z91" s="130"/>
    </row>
    <row r="92" spans="1:26" ht="16.5" customHeight="1">
      <c r="A92" s="225"/>
      <c r="B92" s="124" t="s">
        <v>193</v>
      </c>
      <c r="C92" s="124">
        <v>2</v>
      </c>
      <c r="D92" s="124">
        <v>2</v>
      </c>
      <c r="E92" s="124" t="s">
        <v>194</v>
      </c>
      <c r="F92" s="125"/>
      <c r="G92" s="126"/>
      <c r="H92" s="139"/>
      <c r="I92" s="138"/>
      <c r="J92" s="138"/>
      <c r="K92" s="138"/>
      <c r="L92" s="138"/>
      <c r="M92" s="138"/>
      <c r="N92" s="139"/>
      <c r="O92" s="139"/>
      <c r="P92" s="138"/>
      <c r="Q92" s="138"/>
      <c r="R92" s="138"/>
      <c r="S92" s="138"/>
      <c r="T92" s="130"/>
      <c r="U92" s="130"/>
      <c r="V92" s="130"/>
      <c r="W92" s="130"/>
      <c r="X92" s="130"/>
      <c r="Y92" s="130"/>
      <c r="Z92" s="130"/>
    </row>
    <row r="93" spans="1:26" ht="16.5" customHeight="1">
      <c r="A93" s="225"/>
      <c r="B93" s="124" t="s">
        <v>226</v>
      </c>
      <c r="C93" s="124">
        <v>2</v>
      </c>
      <c r="D93" s="124">
        <v>2</v>
      </c>
      <c r="E93" s="124" t="s">
        <v>194</v>
      </c>
      <c r="F93" s="125"/>
      <c r="G93" s="126"/>
      <c r="H93" s="137"/>
      <c r="I93" s="152"/>
      <c r="J93" s="152"/>
      <c r="K93" s="138"/>
      <c r="L93" s="138"/>
      <c r="M93" s="138"/>
      <c r="N93" s="139"/>
      <c r="O93" s="139"/>
      <c r="P93" s="138"/>
      <c r="Q93" s="138"/>
      <c r="R93" s="138"/>
      <c r="S93" s="138"/>
      <c r="T93" s="130"/>
      <c r="U93" s="130"/>
      <c r="V93" s="130"/>
      <c r="W93" s="130"/>
      <c r="X93" s="130"/>
      <c r="Y93" s="130"/>
      <c r="Z93" s="130"/>
    </row>
    <row r="94" spans="1:26" ht="16.5" customHeight="1">
      <c r="A94" s="225"/>
      <c r="B94" s="124" t="s">
        <v>227</v>
      </c>
      <c r="C94" s="124">
        <v>1</v>
      </c>
      <c r="D94" s="124">
        <v>1</v>
      </c>
      <c r="E94" s="124" t="s">
        <v>146</v>
      </c>
      <c r="F94" s="125"/>
      <c r="G94" s="126"/>
      <c r="H94" s="138"/>
      <c r="I94" s="138"/>
      <c r="J94" s="138"/>
      <c r="K94" s="138"/>
      <c r="L94" s="138"/>
      <c r="M94" s="138"/>
      <c r="N94" s="139"/>
      <c r="O94" s="139"/>
      <c r="P94" s="138"/>
      <c r="Q94" s="138"/>
      <c r="R94" s="138"/>
      <c r="S94" s="138"/>
      <c r="T94" s="130"/>
      <c r="U94" s="130"/>
      <c r="V94" s="130"/>
      <c r="W94" s="130"/>
      <c r="X94" s="130"/>
      <c r="Y94" s="130"/>
      <c r="Z94" s="130"/>
    </row>
    <row r="95" spans="1:26" ht="16.5" customHeight="1">
      <c r="A95" s="225"/>
      <c r="B95" s="124" t="s">
        <v>228</v>
      </c>
      <c r="C95" s="124">
        <v>2</v>
      </c>
      <c r="D95" s="124">
        <v>2</v>
      </c>
      <c r="E95" s="124" t="s">
        <v>194</v>
      </c>
      <c r="F95" s="125" t="s">
        <v>136</v>
      </c>
      <c r="G95" s="126"/>
      <c r="H95" s="138"/>
      <c r="I95" s="138"/>
      <c r="J95" s="138"/>
      <c r="K95" s="138"/>
      <c r="L95" s="138"/>
      <c r="M95" s="138"/>
      <c r="N95" s="139"/>
      <c r="O95" s="139"/>
      <c r="P95" s="138"/>
      <c r="Q95" s="138"/>
      <c r="R95" s="138"/>
      <c r="S95" s="138"/>
      <c r="T95" s="130"/>
      <c r="U95" s="130"/>
      <c r="V95" s="130"/>
      <c r="W95" s="130"/>
      <c r="X95" s="130"/>
      <c r="Y95" s="130"/>
      <c r="Z95" s="130"/>
    </row>
    <row r="96" spans="1:26" ht="16.5" customHeight="1">
      <c r="A96" s="225"/>
      <c r="B96" s="106" t="s">
        <v>229</v>
      </c>
      <c r="C96" s="106">
        <v>3</v>
      </c>
      <c r="D96" s="106">
        <v>3</v>
      </c>
      <c r="E96" s="106" t="s">
        <v>187</v>
      </c>
      <c r="F96" s="131" t="s">
        <v>136</v>
      </c>
      <c r="G96" s="132" t="s">
        <v>174</v>
      </c>
      <c r="H96" s="68"/>
      <c r="I96" s="153"/>
      <c r="J96" s="153"/>
      <c r="K96" s="153"/>
      <c r="L96" s="153"/>
      <c r="M96" s="153"/>
      <c r="N96" s="154"/>
      <c r="O96" s="154"/>
      <c r="P96" s="153"/>
      <c r="Q96" s="153"/>
      <c r="R96" s="153"/>
      <c r="S96" s="153"/>
    </row>
    <row r="97" spans="1:26" ht="16.5" customHeight="1">
      <c r="A97" s="225"/>
      <c r="B97" s="106" t="s">
        <v>230</v>
      </c>
      <c r="C97" s="106">
        <v>3</v>
      </c>
      <c r="D97" s="106">
        <v>3</v>
      </c>
      <c r="E97" s="106" t="s">
        <v>187</v>
      </c>
      <c r="F97" s="131" t="s">
        <v>237</v>
      </c>
      <c r="G97" s="132" t="s">
        <v>174</v>
      </c>
      <c r="H97" s="150"/>
      <c r="I97" s="68"/>
      <c r="J97" s="68"/>
      <c r="K97" s="68"/>
      <c r="L97" s="68"/>
      <c r="M97" s="68"/>
      <c r="N97" s="100"/>
      <c r="O97" s="100"/>
      <c r="P97" s="68"/>
      <c r="Q97" s="68"/>
      <c r="R97" s="68"/>
      <c r="S97" s="68"/>
    </row>
    <row r="98" spans="1:26" ht="16.5" customHeight="1">
      <c r="A98" s="225"/>
      <c r="B98" s="106" t="s">
        <v>233</v>
      </c>
      <c r="C98" s="106">
        <v>3</v>
      </c>
      <c r="D98" s="106">
        <v>3</v>
      </c>
      <c r="E98" s="106" t="s">
        <v>187</v>
      </c>
      <c r="F98" s="131" t="s">
        <v>136</v>
      </c>
      <c r="G98" s="132" t="s">
        <v>174</v>
      </c>
      <c r="H98" s="68"/>
      <c r="I98" s="153"/>
      <c r="J98" s="153"/>
      <c r="K98" s="153"/>
      <c r="L98" s="153"/>
      <c r="M98" s="153"/>
      <c r="N98" s="154"/>
      <c r="O98" s="154"/>
      <c r="P98" s="153"/>
      <c r="Q98" s="153"/>
      <c r="R98" s="153"/>
      <c r="S98" s="153"/>
    </row>
    <row r="99" spans="1:26" ht="16.5" customHeight="1">
      <c r="A99" s="225"/>
      <c r="B99" s="106" t="s">
        <v>238</v>
      </c>
      <c r="C99" s="106">
        <v>3</v>
      </c>
      <c r="D99" s="106">
        <v>3</v>
      </c>
      <c r="E99" s="136" t="s">
        <v>239</v>
      </c>
      <c r="F99" s="131"/>
      <c r="G99" s="132" t="s">
        <v>174</v>
      </c>
      <c r="H99" s="68"/>
      <c r="I99" s="68"/>
      <c r="J99" s="68"/>
      <c r="K99" s="68"/>
      <c r="L99" s="68"/>
      <c r="M99" s="68"/>
      <c r="N99" s="100"/>
      <c r="O99" s="100"/>
      <c r="P99" s="68"/>
      <c r="Q99" s="68"/>
      <c r="R99" s="68"/>
      <c r="S99" s="68"/>
    </row>
    <row r="100" spans="1:26" ht="16.5" customHeight="1">
      <c r="A100" s="225"/>
      <c r="B100" s="97" t="s">
        <v>50</v>
      </c>
      <c r="C100" s="97">
        <f t="shared" ref="C100:D100" si="10">SUM(C91:C99)</f>
        <v>21</v>
      </c>
      <c r="D100" s="97">
        <f t="shared" si="10"/>
        <v>21</v>
      </c>
      <c r="E100" s="97"/>
      <c r="F100" s="98"/>
      <c r="G100" s="99"/>
      <c r="H100" s="68"/>
      <c r="I100" s="68"/>
      <c r="J100" s="68"/>
      <c r="K100" s="68"/>
      <c r="L100" s="68"/>
      <c r="M100" s="68"/>
      <c r="N100" s="100"/>
      <c r="O100" s="100"/>
      <c r="P100" s="68"/>
      <c r="Q100" s="68"/>
      <c r="R100" s="68"/>
      <c r="S100" s="68"/>
    </row>
    <row r="101" spans="1:26" ht="16.5" customHeight="1">
      <c r="A101" s="226"/>
      <c r="B101" s="101" t="s">
        <v>235</v>
      </c>
      <c r="C101" s="102"/>
      <c r="D101" s="102"/>
      <c r="E101" s="102"/>
      <c r="F101" s="103"/>
      <c r="G101" s="104"/>
      <c r="H101" s="67"/>
      <c r="I101" s="68"/>
      <c r="J101" s="68"/>
      <c r="K101" s="68"/>
      <c r="L101" s="68"/>
      <c r="M101" s="68"/>
      <c r="N101" s="100"/>
      <c r="O101" s="100"/>
      <c r="P101" s="68"/>
      <c r="Q101" s="68"/>
      <c r="R101" s="68"/>
      <c r="S101" s="68"/>
    </row>
    <row r="102" spans="1:26" ht="16.5" customHeight="1">
      <c r="A102" s="227" t="s">
        <v>240</v>
      </c>
      <c r="B102" s="144" t="s">
        <v>241</v>
      </c>
      <c r="C102" s="144">
        <v>3</v>
      </c>
      <c r="D102" s="144">
        <v>6</v>
      </c>
      <c r="E102" s="144" t="s">
        <v>194</v>
      </c>
      <c r="F102" s="145"/>
      <c r="G102" s="144"/>
      <c r="H102" s="148"/>
      <c r="I102" s="147"/>
      <c r="J102" s="147"/>
      <c r="K102" s="147"/>
      <c r="L102" s="147"/>
      <c r="M102" s="147"/>
      <c r="N102" s="148"/>
      <c r="O102" s="148"/>
      <c r="P102" s="147"/>
      <c r="Q102" s="147"/>
      <c r="R102" s="147"/>
      <c r="S102" s="147"/>
      <c r="T102" s="149"/>
      <c r="U102" s="149"/>
      <c r="V102" s="149"/>
      <c r="W102" s="149"/>
      <c r="X102" s="149"/>
      <c r="Y102" s="149"/>
      <c r="Z102" s="149"/>
    </row>
    <row r="103" spans="1:26" ht="16.5" customHeight="1">
      <c r="A103" s="225"/>
      <c r="B103" s="144" t="s">
        <v>242</v>
      </c>
      <c r="C103" s="144">
        <v>2</v>
      </c>
      <c r="D103" s="144">
        <v>4</v>
      </c>
      <c r="E103" s="144" t="s">
        <v>194</v>
      </c>
      <c r="F103" s="145"/>
      <c r="G103" s="144"/>
      <c r="H103" s="148"/>
      <c r="I103" s="147"/>
      <c r="J103" s="147"/>
      <c r="K103" s="147"/>
      <c r="L103" s="147"/>
      <c r="M103" s="147"/>
      <c r="N103" s="148"/>
      <c r="O103" s="148"/>
      <c r="P103" s="147"/>
      <c r="Q103" s="147"/>
      <c r="R103" s="147"/>
      <c r="S103" s="147"/>
      <c r="T103" s="149"/>
      <c r="U103" s="149"/>
      <c r="V103" s="149"/>
      <c r="W103" s="149"/>
      <c r="X103" s="149"/>
      <c r="Y103" s="149"/>
      <c r="Z103" s="149"/>
    </row>
    <row r="104" spans="1:26" ht="16.5" customHeight="1">
      <c r="A104" s="225"/>
      <c r="B104" s="144" t="s">
        <v>243</v>
      </c>
      <c r="C104" s="144">
        <v>0</v>
      </c>
      <c r="D104" s="144">
        <v>5</v>
      </c>
      <c r="E104" s="144" t="s">
        <v>194</v>
      </c>
      <c r="F104" s="145"/>
      <c r="G104" s="144"/>
      <c r="H104" s="148"/>
      <c r="I104" s="147"/>
      <c r="J104" s="147"/>
      <c r="K104" s="147"/>
      <c r="L104" s="147"/>
      <c r="M104" s="147"/>
      <c r="N104" s="148"/>
      <c r="O104" s="148"/>
      <c r="P104" s="147"/>
      <c r="Q104" s="147"/>
      <c r="R104" s="147"/>
      <c r="S104" s="147"/>
      <c r="T104" s="149"/>
      <c r="U104" s="149"/>
      <c r="V104" s="149"/>
      <c r="W104" s="149"/>
      <c r="X104" s="149"/>
      <c r="Y104" s="149"/>
      <c r="Z104" s="149"/>
    </row>
    <row r="105" spans="1:26" ht="16.5" customHeight="1">
      <c r="A105" s="225"/>
      <c r="B105" s="144" t="s">
        <v>226</v>
      </c>
      <c r="C105" s="144">
        <v>2</v>
      </c>
      <c r="D105" s="144">
        <v>2</v>
      </c>
      <c r="E105" s="144" t="s">
        <v>194</v>
      </c>
      <c r="F105" s="145"/>
      <c r="G105" s="144"/>
      <c r="H105" s="148"/>
      <c r="I105" s="147"/>
      <c r="J105" s="147"/>
      <c r="K105" s="147"/>
      <c r="L105" s="147"/>
      <c r="M105" s="147"/>
      <c r="N105" s="148"/>
      <c r="O105" s="148"/>
      <c r="P105" s="147"/>
      <c r="Q105" s="147"/>
      <c r="R105" s="147"/>
      <c r="S105" s="147"/>
      <c r="T105" s="149"/>
      <c r="U105" s="149"/>
      <c r="V105" s="149"/>
      <c r="W105" s="149"/>
      <c r="X105" s="149"/>
      <c r="Y105" s="149"/>
      <c r="Z105" s="149"/>
    </row>
    <row r="106" spans="1:26" ht="16.5" customHeight="1">
      <c r="A106" s="225"/>
      <c r="B106" s="105" t="s">
        <v>227</v>
      </c>
      <c r="C106" s="105">
        <v>1</v>
      </c>
      <c r="D106" s="105">
        <v>1</v>
      </c>
      <c r="E106" s="105" t="s">
        <v>138</v>
      </c>
      <c r="F106" s="107"/>
      <c r="G106" s="105"/>
      <c r="H106" s="155"/>
      <c r="I106" s="109"/>
      <c r="J106" s="109"/>
      <c r="K106" s="109"/>
      <c r="L106" s="109"/>
      <c r="M106" s="109"/>
      <c r="N106" s="110"/>
      <c r="O106" s="110"/>
      <c r="P106" s="109"/>
      <c r="Q106" s="109"/>
      <c r="R106" s="109"/>
      <c r="S106" s="109"/>
      <c r="T106" s="111"/>
      <c r="U106" s="111"/>
      <c r="V106" s="111"/>
      <c r="W106" s="111"/>
      <c r="X106" s="111"/>
      <c r="Y106" s="111"/>
      <c r="Z106" s="111"/>
    </row>
    <row r="107" spans="1:26" ht="16.5" customHeight="1">
      <c r="A107" s="225"/>
      <c r="B107" s="105" t="s">
        <v>229</v>
      </c>
      <c r="C107" s="105">
        <v>3</v>
      </c>
      <c r="D107" s="105">
        <v>3</v>
      </c>
      <c r="E107" s="105" t="s">
        <v>150</v>
      </c>
      <c r="F107" s="107" t="s">
        <v>136</v>
      </c>
      <c r="G107" s="105" t="s">
        <v>174</v>
      </c>
      <c r="H107" s="155"/>
      <c r="I107" s="109"/>
      <c r="J107" s="109"/>
      <c r="K107" s="109"/>
      <c r="L107" s="109"/>
      <c r="M107" s="109"/>
      <c r="N107" s="110"/>
      <c r="O107" s="110"/>
      <c r="P107" s="109"/>
      <c r="Q107" s="109"/>
      <c r="R107" s="109"/>
      <c r="S107" s="109"/>
      <c r="T107" s="111"/>
      <c r="U107" s="111"/>
      <c r="V107" s="111"/>
      <c r="W107" s="111"/>
      <c r="X107" s="111"/>
      <c r="Y107" s="111"/>
      <c r="Z107" s="111"/>
    </row>
    <row r="108" spans="1:26" ht="16.5" customHeight="1">
      <c r="A108" s="225"/>
      <c r="B108" s="105" t="s">
        <v>230</v>
      </c>
      <c r="C108" s="105">
        <v>3</v>
      </c>
      <c r="D108" s="105">
        <v>3</v>
      </c>
      <c r="E108" s="174"/>
      <c r="F108" s="107" t="s">
        <v>136</v>
      </c>
      <c r="G108" s="105" t="s">
        <v>174</v>
      </c>
      <c r="H108" s="155"/>
      <c r="I108" s="109"/>
      <c r="J108" s="109"/>
      <c r="K108" s="109"/>
      <c r="L108" s="109"/>
      <c r="M108" s="109"/>
      <c r="N108" s="110"/>
      <c r="O108" s="110"/>
      <c r="P108" s="109"/>
      <c r="Q108" s="109"/>
      <c r="R108" s="109"/>
      <c r="S108" s="109"/>
      <c r="T108" s="111"/>
      <c r="U108" s="111"/>
      <c r="V108" s="111"/>
      <c r="W108" s="111"/>
      <c r="X108" s="111"/>
      <c r="Y108" s="111"/>
      <c r="Z108" s="111"/>
    </row>
    <row r="109" spans="1:26" ht="16.5" customHeight="1">
      <c r="A109" s="225"/>
      <c r="B109" s="105" t="s">
        <v>244</v>
      </c>
      <c r="C109" s="105">
        <v>3</v>
      </c>
      <c r="D109" s="105">
        <v>3</v>
      </c>
      <c r="E109" s="105" t="s">
        <v>245</v>
      </c>
      <c r="F109" s="107" t="s">
        <v>136</v>
      </c>
      <c r="G109" s="105" t="s">
        <v>174</v>
      </c>
      <c r="H109" s="155"/>
      <c r="I109" s="109"/>
      <c r="J109" s="109"/>
      <c r="K109" s="109"/>
      <c r="L109" s="109"/>
      <c r="M109" s="109"/>
      <c r="N109" s="110"/>
      <c r="O109" s="110"/>
      <c r="P109" s="109"/>
      <c r="Q109" s="109"/>
      <c r="R109" s="109"/>
      <c r="S109" s="109"/>
      <c r="T109" s="111"/>
      <c r="U109" s="111"/>
      <c r="V109" s="111"/>
      <c r="W109" s="111"/>
      <c r="X109" s="111"/>
      <c r="Y109" s="111"/>
      <c r="Z109" s="111"/>
    </row>
    <row r="110" spans="1:26" ht="16.5" customHeight="1">
      <c r="A110" s="225"/>
      <c r="B110" s="105" t="s">
        <v>246</v>
      </c>
      <c r="C110" s="105">
        <v>3</v>
      </c>
      <c r="D110" s="105">
        <v>3</v>
      </c>
      <c r="E110" s="105" t="s">
        <v>138</v>
      </c>
      <c r="F110" s="107" t="s">
        <v>136</v>
      </c>
      <c r="G110" s="105" t="s">
        <v>174</v>
      </c>
      <c r="H110" s="155"/>
      <c r="I110" s="109"/>
      <c r="J110" s="109"/>
      <c r="K110" s="109"/>
      <c r="L110" s="109"/>
      <c r="M110" s="109"/>
      <c r="N110" s="110"/>
      <c r="O110" s="110"/>
      <c r="P110" s="109"/>
      <c r="Q110" s="109"/>
      <c r="R110" s="109"/>
      <c r="S110" s="109"/>
      <c r="T110" s="111"/>
      <c r="U110" s="111"/>
      <c r="V110" s="111"/>
      <c r="W110" s="111"/>
      <c r="X110" s="111"/>
      <c r="Y110" s="111"/>
      <c r="Z110" s="111"/>
    </row>
    <row r="111" spans="1:26" ht="16.5" customHeight="1">
      <c r="A111" s="225"/>
      <c r="B111" s="112" t="s">
        <v>247</v>
      </c>
      <c r="C111" s="112">
        <v>3</v>
      </c>
      <c r="D111" s="112">
        <v>3</v>
      </c>
      <c r="E111" s="175"/>
      <c r="F111" s="113"/>
      <c r="G111" s="112" t="s">
        <v>137</v>
      </c>
      <c r="H111" s="155"/>
      <c r="I111" s="109"/>
      <c r="J111" s="109"/>
      <c r="K111" s="109"/>
      <c r="L111" s="109"/>
      <c r="M111" s="109"/>
      <c r="N111" s="110"/>
      <c r="O111" s="110"/>
      <c r="P111" s="109"/>
      <c r="Q111" s="109"/>
      <c r="R111" s="109"/>
      <c r="S111" s="109"/>
      <c r="T111" s="111"/>
      <c r="U111" s="111"/>
      <c r="V111" s="111"/>
      <c r="W111" s="111"/>
      <c r="X111" s="111"/>
      <c r="Y111" s="111"/>
      <c r="Z111" s="111"/>
    </row>
    <row r="112" spans="1:26" ht="16.5" customHeight="1">
      <c r="A112" s="225"/>
      <c r="B112" s="112" t="s">
        <v>248</v>
      </c>
      <c r="C112" s="112">
        <v>3</v>
      </c>
      <c r="D112" s="112">
        <v>3</v>
      </c>
      <c r="E112" s="176"/>
      <c r="F112" s="113" t="s">
        <v>136</v>
      </c>
      <c r="G112" s="112" t="s">
        <v>137</v>
      </c>
      <c r="H112" s="155"/>
      <c r="I112" s="109"/>
      <c r="J112" s="109"/>
      <c r="K112" s="109"/>
      <c r="L112" s="109"/>
      <c r="M112" s="109"/>
      <c r="N112" s="110"/>
      <c r="O112" s="110"/>
      <c r="P112" s="109"/>
      <c r="Q112" s="109"/>
      <c r="R112" s="109"/>
      <c r="S112" s="109"/>
      <c r="T112" s="111"/>
      <c r="U112" s="111"/>
      <c r="V112" s="111"/>
      <c r="W112" s="111"/>
      <c r="X112" s="111"/>
      <c r="Y112" s="111"/>
      <c r="Z112" s="111"/>
    </row>
    <row r="113" spans="1:26" ht="16.5" customHeight="1">
      <c r="A113" s="225"/>
      <c r="B113" s="114" t="s">
        <v>50</v>
      </c>
      <c r="C113" s="114">
        <f t="shared" ref="C113:D113" si="11">SUM(C102:C112)</f>
        <v>26</v>
      </c>
      <c r="D113" s="114">
        <f t="shared" si="11"/>
        <v>36</v>
      </c>
      <c r="E113" s="114"/>
      <c r="F113" s="115"/>
      <c r="G113" s="114"/>
      <c r="H113" s="155"/>
      <c r="I113" s="109"/>
      <c r="J113" s="109"/>
      <c r="K113" s="109"/>
      <c r="L113" s="109"/>
      <c r="M113" s="109"/>
      <c r="N113" s="110"/>
      <c r="O113" s="110"/>
      <c r="P113" s="109"/>
      <c r="Q113" s="109"/>
      <c r="R113" s="109"/>
      <c r="S113" s="109"/>
      <c r="T113" s="111"/>
      <c r="U113" s="111"/>
      <c r="V113" s="111"/>
      <c r="W113" s="111"/>
      <c r="X113" s="111"/>
      <c r="Y113" s="111"/>
      <c r="Z113" s="111"/>
    </row>
    <row r="114" spans="1:26" ht="16.5" customHeight="1">
      <c r="A114" s="226"/>
      <c r="B114" s="101" t="s">
        <v>249</v>
      </c>
      <c r="C114" s="116"/>
      <c r="D114" s="116"/>
      <c r="E114" s="116"/>
      <c r="F114" s="117"/>
      <c r="G114" s="116"/>
      <c r="H114" s="155"/>
      <c r="I114" s="109"/>
      <c r="J114" s="109"/>
      <c r="K114" s="109"/>
      <c r="L114" s="109"/>
      <c r="M114" s="109"/>
      <c r="N114" s="110"/>
      <c r="O114" s="110"/>
      <c r="P114" s="109"/>
      <c r="Q114" s="109"/>
      <c r="R114" s="109"/>
      <c r="S114" s="109"/>
      <c r="T114" s="111"/>
      <c r="U114" s="111"/>
      <c r="V114" s="111"/>
      <c r="W114" s="111"/>
      <c r="X114" s="111"/>
      <c r="Y114" s="111"/>
      <c r="Z114" s="111"/>
    </row>
    <row r="115" spans="1:26" ht="16.5" customHeight="1">
      <c r="A115" s="68"/>
      <c r="B115" s="68"/>
      <c r="C115" s="68"/>
      <c r="D115" s="68"/>
      <c r="E115" s="68"/>
      <c r="F115" s="156"/>
      <c r="G115" s="67"/>
      <c r="H115" s="67"/>
      <c r="I115" s="68"/>
      <c r="J115" s="68"/>
      <c r="K115" s="68"/>
      <c r="L115" s="68"/>
      <c r="M115" s="68"/>
      <c r="N115" s="100"/>
      <c r="O115" s="100"/>
      <c r="P115" s="68"/>
      <c r="Q115" s="68"/>
      <c r="R115" s="68"/>
      <c r="S115" s="68"/>
    </row>
    <row r="116" spans="1:26" ht="16.5" customHeight="1">
      <c r="A116" s="68" t="s">
        <v>250</v>
      </c>
      <c r="B116" s="68"/>
      <c r="C116" s="68"/>
      <c r="D116" s="68"/>
      <c r="E116" s="68"/>
      <c r="F116" s="156"/>
      <c r="G116" s="67"/>
      <c r="H116" s="67"/>
      <c r="I116" s="68"/>
      <c r="J116" s="68"/>
      <c r="K116" s="68"/>
      <c r="L116" s="68"/>
      <c r="M116" s="68"/>
      <c r="N116" s="100"/>
      <c r="O116" s="100"/>
      <c r="P116" s="68"/>
      <c r="Q116" s="68"/>
      <c r="R116" s="68"/>
      <c r="S116" s="68"/>
    </row>
    <row r="117" spans="1:26" ht="16.5" customHeight="1">
      <c r="A117" s="73" t="s">
        <v>128</v>
      </c>
      <c r="B117" s="74" t="s">
        <v>34</v>
      </c>
      <c r="C117" s="75" t="s">
        <v>35</v>
      </c>
      <c r="D117" s="76" t="s">
        <v>4</v>
      </c>
      <c r="E117" s="157" t="s">
        <v>129</v>
      </c>
      <c r="F117" s="158" t="s">
        <v>251</v>
      </c>
      <c r="G117" s="69" t="s">
        <v>7</v>
      </c>
      <c r="H117" s="67"/>
      <c r="I117" s="68"/>
      <c r="J117" s="68"/>
      <c r="K117" s="68"/>
      <c r="L117" s="68"/>
      <c r="M117" s="68"/>
      <c r="N117" s="100"/>
      <c r="O117" s="100"/>
      <c r="P117" s="68"/>
      <c r="Q117" s="68"/>
      <c r="R117" s="68"/>
      <c r="S117" s="68"/>
    </row>
    <row r="118" spans="1:26" ht="16.5" customHeight="1">
      <c r="A118" s="159" t="s">
        <v>252</v>
      </c>
      <c r="B118" s="160" t="s">
        <v>253</v>
      </c>
      <c r="C118" s="161">
        <v>2</v>
      </c>
      <c r="D118" s="161">
        <v>2</v>
      </c>
      <c r="E118" s="161" t="s">
        <v>149</v>
      </c>
      <c r="F118" s="162" t="s">
        <v>254</v>
      </c>
      <c r="G118" s="163"/>
      <c r="H118" s="67"/>
      <c r="I118" s="68"/>
      <c r="J118" s="68"/>
      <c r="K118" s="68"/>
      <c r="L118" s="68"/>
      <c r="M118" s="68"/>
      <c r="N118" s="100"/>
      <c r="O118" s="100"/>
      <c r="P118" s="68"/>
      <c r="Q118" s="68"/>
      <c r="R118" s="68"/>
      <c r="S118" s="68"/>
    </row>
    <row r="119" spans="1:26" ht="16.5" customHeight="1">
      <c r="A119" s="159" t="s">
        <v>252</v>
      </c>
      <c r="B119" s="160" t="s">
        <v>253</v>
      </c>
      <c r="C119" s="161">
        <v>2</v>
      </c>
      <c r="D119" s="161">
        <v>2</v>
      </c>
      <c r="E119" s="161" t="s">
        <v>149</v>
      </c>
      <c r="F119" s="162" t="s">
        <v>255</v>
      </c>
      <c r="G119" s="163"/>
      <c r="H119" s="67"/>
      <c r="I119" s="68"/>
      <c r="J119" s="68"/>
      <c r="K119" s="68"/>
      <c r="L119" s="68"/>
      <c r="M119" s="68"/>
      <c r="N119" s="100"/>
      <c r="O119" s="100"/>
      <c r="P119" s="68"/>
      <c r="Q119" s="68"/>
      <c r="R119" s="68"/>
      <c r="S119" s="68"/>
    </row>
    <row r="120" spans="1:26" ht="16.5" customHeight="1">
      <c r="A120" s="159" t="s">
        <v>252</v>
      </c>
      <c r="B120" s="160" t="s">
        <v>253</v>
      </c>
      <c r="C120" s="161">
        <v>2</v>
      </c>
      <c r="D120" s="161">
        <v>2</v>
      </c>
      <c r="E120" s="161" t="s">
        <v>143</v>
      </c>
      <c r="F120" s="162" t="s">
        <v>255</v>
      </c>
      <c r="G120" s="163"/>
      <c r="H120" s="67"/>
      <c r="I120" s="68"/>
      <c r="J120" s="68"/>
      <c r="K120" s="68"/>
      <c r="L120" s="68"/>
      <c r="M120" s="68"/>
      <c r="N120" s="100"/>
      <c r="O120" s="100"/>
      <c r="P120" s="68"/>
      <c r="Q120" s="68"/>
      <c r="R120" s="68"/>
      <c r="S120" s="68"/>
    </row>
    <row r="121" spans="1:26" ht="16.5" customHeight="1">
      <c r="A121" s="164" t="s">
        <v>252</v>
      </c>
      <c r="B121" s="165" t="s">
        <v>195</v>
      </c>
      <c r="C121" s="164">
        <v>2</v>
      </c>
      <c r="D121" s="164">
        <v>2</v>
      </c>
      <c r="E121" s="164" t="s">
        <v>141</v>
      </c>
      <c r="F121" s="166" t="s">
        <v>256</v>
      </c>
      <c r="G121" s="167" t="s">
        <v>257</v>
      </c>
      <c r="H121" s="67"/>
      <c r="I121" s="68"/>
      <c r="J121" s="68"/>
      <c r="K121" s="68"/>
      <c r="L121" s="68"/>
      <c r="M121" s="68"/>
      <c r="N121" s="100"/>
      <c r="O121" s="100"/>
      <c r="P121" s="68"/>
      <c r="Q121" s="68"/>
      <c r="R121" s="68"/>
      <c r="S121" s="68"/>
    </row>
    <row r="122" spans="1:26" ht="16.5" customHeight="1">
      <c r="A122" s="164" t="s">
        <v>252</v>
      </c>
      <c r="B122" s="165" t="s">
        <v>195</v>
      </c>
      <c r="C122" s="164">
        <v>2</v>
      </c>
      <c r="D122" s="164">
        <v>2</v>
      </c>
      <c r="E122" s="164" t="s">
        <v>141</v>
      </c>
      <c r="F122" s="166" t="s">
        <v>258</v>
      </c>
      <c r="G122" s="167" t="s">
        <v>259</v>
      </c>
      <c r="H122" s="67"/>
      <c r="I122" s="68"/>
      <c r="J122" s="68"/>
      <c r="K122" s="68"/>
      <c r="L122" s="68"/>
      <c r="M122" s="68"/>
      <c r="N122" s="100"/>
      <c r="O122" s="100"/>
      <c r="P122" s="68"/>
      <c r="Q122" s="68"/>
      <c r="R122" s="68"/>
      <c r="S122" s="68"/>
    </row>
    <row r="123" spans="1:26" ht="16.5" customHeight="1">
      <c r="A123" s="164" t="s">
        <v>252</v>
      </c>
      <c r="B123" s="165" t="s">
        <v>195</v>
      </c>
      <c r="C123" s="164">
        <v>2</v>
      </c>
      <c r="D123" s="164">
        <v>2</v>
      </c>
      <c r="E123" s="164" t="s">
        <v>150</v>
      </c>
      <c r="F123" s="166" t="s">
        <v>260</v>
      </c>
      <c r="G123" s="167" t="s">
        <v>261</v>
      </c>
      <c r="H123" s="67"/>
      <c r="I123" s="68"/>
      <c r="J123" s="68"/>
      <c r="K123" s="68"/>
      <c r="L123" s="68"/>
      <c r="M123" s="68"/>
      <c r="N123" s="100"/>
      <c r="O123" s="100"/>
      <c r="P123" s="68"/>
      <c r="Q123" s="68"/>
      <c r="R123" s="68"/>
      <c r="S123" s="68"/>
    </row>
    <row r="124" spans="1:26" ht="16.5" customHeight="1">
      <c r="A124" s="164" t="s">
        <v>252</v>
      </c>
      <c r="B124" s="165" t="s">
        <v>195</v>
      </c>
      <c r="C124" s="164">
        <v>2</v>
      </c>
      <c r="D124" s="164">
        <v>2</v>
      </c>
      <c r="E124" s="164" t="s">
        <v>150</v>
      </c>
      <c r="F124" s="166" t="s">
        <v>262</v>
      </c>
      <c r="G124" s="167" t="s">
        <v>263</v>
      </c>
      <c r="H124" s="67"/>
      <c r="I124" s="68"/>
      <c r="J124" s="68"/>
      <c r="K124" s="68"/>
      <c r="L124" s="68"/>
      <c r="M124" s="68"/>
      <c r="N124" s="100"/>
      <c r="O124" s="100"/>
      <c r="P124" s="68"/>
      <c r="Q124" s="68"/>
      <c r="R124" s="68"/>
      <c r="S124" s="68"/>
    </row>
    <row r="125" spans="1:26" ht="16.5" customHeight="1">
      <c r="A125" s="161" t="s">
        <v>252</v>
      </c>
      <c r="B125" s="160" t="s">
        <v>227</v>
      </c>
      <c r="C125" s="161">
        <v>1</v>
      </c>
      <c r="D125" s="161">
        <v>1</v>
      </c>
      <c r="E125" s="161" t="s">
        <v>146</v>
      </c>
      <c r="F125" s="162"/>
      <c r="G125" s="161" t="s">
        <v>264</v>
      </c>
      <c r="H125" s="10"/>
      <c r="I125" s="68"/>
      <c r="J125" s="68"/>
      <c r="K125" s="68"/>
      <c r="L125" s="68"/>
      <c r="M125" s="68"/>
      <c r="N125" s="100"/>
      <c r="O125" s="100"/>
      <c r="P125" s="68"/>
      <c r="Q125" s="68"/>
      <c r="R125" s="68"/>
      <c r="S125" s="68"/>
    </row>
    <row r="126" spans="1:26" ht="16.5" customHeight="1">
      <c r="A126" s="161" t="s">
        <v>265</v>
      </c>
      <c r="B126" s="160" t="s">
        <v>227</v>
      </c>
      <c r="C126" s="161">
        <v>1</v>
      </c>
      <c r="D126" s="161">
        <v>1</v>
      </c>
      <c r="E126" s="161" t="s">
        <v>138</v>
      </c>
      <c r="F126" s="162"/>
      <c r="G126" s="161" t="s">
        <v>266</v>
      </c>
      <c r="H126" s="67"/>
      <c r="I126" s="68"/>
      <c r="J126" s="68"/>
      <c r="K126" s="68"/>
      <c r="L126" s="68"/>
      <c r="M126" s="68"/>
      <c r="N126" s="100"/>
      <c r="O126" s="100"/>
      <c r="P126" s="68"/>
      <c r="Q126" s="68"/>
      <c r="R126" s="68"/>
      <c r="S126" s="68"/>
    </row>
    <row r="127" spans="1:26" ht="16.5" customHeight="1">
      <c r="A127" s="68"/>
      <c r="B127" s="68"/>
      <c r="C127" s="68"/>
      <c r="D127" s="68"/>
      <c r="E127" s="68"/>
      <c r="F127" s="156"/>
      <c r="G127" s="67"/>
      <c r="H127" s="67"/>
      <c r="I127" s="68"/>
      <c r="J127" s="68"/>
      <c r="K127" s="68"/>
      <c r="L127" s="68"/>
      <c r="M127" s="68"/>
      <c r="N127" s="100"/>
      <c r="O127" s="100"/>
      <c r="P127" s="68"/>
      <c r="Q127" s="68"/>
      <c r="R127" s="68"/>
      <c r="S127" s="68"/>
    </row>
    <row r="128" spans="1:26" ht="16.5" customHeight="1">
      <c r="A128" s="68"/>
      <c r="B128" s="68"/>
      <c r="C128" s="68"/>
      <c r="D128" s="68"/>
      <c r="E128" s="68"/>
      <c r="F128" s="156"/>
      <c r="G128" s="6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 ht="16.5" customHeight="1">
      <c r="A129" s="68"/>
      <c r="B129" s="68"/>
      <c r="C129" s="68"/>
      <c r="D129" s="68"/>
      <c r="E129" s="68"/>
      <c r="F129" s="156"/>
      <c r="G129" s="6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 ht="16.5" customHeight="1">
      <c r="A130" s="68"/>
      <c r="B130" s="68"/>
      <c r="C130" s="68"/>
      <c r="D130" s="68"/>
      <c r="E130" s="68"/>
      <c r="F130" s="156"/>
      <c r="G130" s="6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16.5" customHeight="1">
      <c r="A131" s="68"/>
      <c r="B131" s="68"/>
      <c r="C131" s="68"/>
      <c r="D131" s="68"/>
      <c r="E131" s="68"/>
      <c r="F131" s="156"/>
      <c r="G131" s="6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 ht="16.5" customHeight="1">
      <c r="A132" s="68"/>
      <c r="B132" s="68"/>
      <c r="C132" s="68"/>
      <c r="D132" s="68"/>
      <c r="E132" s="68"/>
      <c r="F132" s="156"/>
      <c r="G132" s="6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 ht="16.5" customHeight="1">
      <c r="A133" s="68"/>
      <c r="B133" s="68"/>
      <c r="C133" s="68"/>
      <c r="D133" s="68"/>
      <c r="E133" s="68"/>
      <c r="F133" s="156"/>
      <c r="G133" s="6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 ht="16.5" customHeight="1">
      <c r="A134" s="68"/>
      <c r="B134" s="68"/>
      <c r="C134" s="68"/>
      <c r="D134" s="68"/>
      <c r="E134" s="68"/>
      <c r="F134" s="156"/>
      <c r="G134" s="6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 ht="16.5" customHeight="1">
      <c r="A135" s="68"/>
      <c r="B135" s="68"/>
      <c r="C135" s="68"/>
      <c r="D135" s="68"/>
      <c r="E135" s="68"/>
      <c r="F135" s="156"/>
      <c r="G135" s="6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 ht="16.5" customHeight="1">
      <c r="A136" s="68"/>
      <c r="B136" s="68"/>
      <c r="C136" s="68"/>
      <c r="D136" s="68"/>
      <c r="E136" s="68"/>
      <c r="F136" s="156"/>
      <c r="G136" s="6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 ht="16.5" customHeight="1">
      <c r="A137" s="68"/>
      <c r="B137" s="68"/>
      <c r="C137" s="68"/>
      <c r="D137" s="68"/>
      <c r="E137" s="68"/>
      <c r="F137" s="156"/>
      <c r="G137" s="6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 ht="16.5" customHeight="1">
      <c r="A138" s="68"/>
      <c r="B138" s="68"/>
      <c r="C138" s="68"/>
      <c r="D138" s="68"/>
      <c r="E138" s="68"/>
      <c r="F138" s="156"/>
      <c r="G138" s="6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 ht="16.5" customHeight="1">
      <c r="A139" s="68"/>
      <c r="B139" s="68"/>
      <c r="C139" s="68"/>
      <c r="D139" s="68"/>
      <c r="E139" s="68"/>
      <c r="F139" s="156"/>
      <c r="G139" s="6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16.5" customHeight="1">
      <c r="A140" s="68"/>
      <c r="B140" s="68"/>
      <c r="C140" s="68"/>
      <c r="D140" s="68"/>
      <c r="E140" s="68"/>
      <c r="F140" s="156"/>
      <c r="G140" s="6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16.5" customHeight="1">
      <c r="A141" s="68"/>
      <c r="B141" s="68"/>
      <c r="C141" s="68"/>
      <c r="D141" s="68"/>
      <c r="E141" s="68"/>
      <c r="F141" s="156"/>
      <c r="G141" s="6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16.5" customHeight="1">
      <c r="A142" s="10"/>
      <c r="B142" s="10"/>
      <c r="C142" s="10"/>
      <c r="D142" s="10"/>
      <c r="E142" s="10"/>
      <c r="F142" s="16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16.5" customHeight="1">
      <c r="A143" s="10"/>
      <c r="B143" s="10"/>
      <c r="C143" s="10"/>
      <c r="D143" s="10"/>
      <c r="E143" s="10"/>
      <c r="F143" s="16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16.5" customHeight="1">
      <c r="A144" s="10"/>
      <c r="B144" s="10"/>
      <c r="C144" s="10"/>
      <c r="D144" s="10"/>
      <c r="E144" s="10"/>
      <c r="F144" s="16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16.5" customHeight="1">
      <c r="A145" s="10"/>
      <c r="B145" s="10"/>
      <c r="C145" s="10"/>
      <c r="D145" s="10"/>
      <c r="E145" s="10"/>
      <c r="F145" s="16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16.5" customHeight="1">
      <c r="A146" s="10"/>
      <c r="B146" s="10"/>
      <c r="C146" s="10"/>
      <c r="D146" s="10"/>
      <c r="E146" s="10"/>
      <c r="F146" s="16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16.5" customHeight="1">
      <c r="A147" s="10"/>
      <c r="B147" s="10"/>
      <c r="C147" s="10"/>
      <c r="D147" s="10"/>
      <c r="E147" s="10"/>
      <c r="F147" s="16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6.5" customHeight="1">
      <c r="A148" s="10"/>
      <c r="B148" s="10"/>
      <c r="C148" s="10"/>
      <c r="D148" s="10"/>
      <c r="E148" s="10"/>
      <c r="F148" s="16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16.5" customHeight="1">
      <c r="A149" s="10"/>
      <c r="B149" s="10"/>
      <c r="C149" s="10"/>
      <c r="D149" s="10"/>
      <c r="E149" s="10"/>
      <c r="F149" s="16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16.5" customHeight="1">
      <c r="A150" s="10"/>
      <c r="B150" s="10"/>
      <c r="C150" s="10"/>
      <c r="D150" s="10"/>
      <c r="E150" s="10"/>
      <c r="F150" s="16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ht="16.5" customHeight="1">
      <c r="A151" s="10"/>
      <c r="B151" s="10"/>
      <c r="C151" s="10"/>
      <c r="D151" s="10"/>
      <c r="E151" s="10"/>
      <c r="F151" s="16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 ht="16.5" customHeight="1">
      <c r="A152" s="10"/>
      <c r="B152" s="10"/>
      <c r="C152" s="10"/>
      <c r="D152" s="10"/>
      <c r="E152" s="10"/>
      <c r="F152" s="16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ht="16.5" customHeight="1">
      <c r="A153" s="10"/>
      <c r="B153" s="10"/>
      <c r="C153" s="10"/>
      <c r="D153" s="10"/>
      <c r="E153" s="10"/>
      <c r="F153" s="16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 ht="16.5" customHeight="1">
      <c r="A154" s="10"/>
      <c r="B154" s="10"/>
      <c r="C154" s="10"/>
      <c r="D154" s="10"/>
      <c r="E154" s="10"/>
      <c r="F154" s="16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 ht="16.5" customHeight="1">
      <c r="A155" s="10"/>
      <c r="B155" s="10"/>
      <c r="C155" s="10"/>
      <c r="D155" s="10"/>
      <c r="E155" s="10"/>
      <c r="F155" s="16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 ht="16.5" customHeight="1">
      <c r="A156" s="10"/>
      <c r="B156" s="10"/>
      <c r="C156" s="10"/>
      <c r="D156" s="10"/>
      <c r="E156" s="10"/>
      <c r="F156" s="16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 ht="16.5" customHeight="1">
      <c r="A157" s="10"/>
      <c r="B157" s="10"/>
      <c r="C157" s="10"/>
      <c r="D157" s="10"/>
      <c r="E157" s="10"/>
      <c r="F157" s="16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 ht="16.5" customHeight="1">
      <c r="A158" s="10"/>
      <c r="B158" s="10"/>
      <c r="C158" s="10"/>
      <c r="D158" s="10"/>
      <c r="E158" s="10"/>
      <c r="F158" s="16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 ht="16.5" customHeight="1">
      <c r="A159" s="10"/>
      <c r="B159" s="10"/>
      <c r="C159" s="10"/>
      <c r="D159" s="10"/>
      <c r="E159" s="10"/>
      <c r="F159" s="16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 ht="16.5" customHeight="1">
      <c r="A160" s="10"/>
      <c r="B160" s="10"/>
      <c r="C160" s="10"/>
      <c r="D160" s="10"/>
      <c r="E160" s="10"/>
      <c r="F160" s="16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 ht="16.5" customHeight="1">
      <c r="A161" s="10"/>
      <c r="B161" s="10"/>
      <c r="C161" s="10"/>
      <c r="D161" s="10"/>
      <c r="E161" s="10"/>
      <c r="F161" s="16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 ht="16.5" customHeight="1">
      <c r="A162" s="10"/>
      <c r="B162" s="10"/>
      <c r="C162" s="10"/>
      <c r="D162" s="10"/>
      <c r="E162" s="10"/>
      <c r="F162" s="16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 ht="16.5" customHeight="1">
      <c r="A163" s="10"/>
      <c r="B163" s="10"/>
      <c r="C163" s="10"/>
      <c r="D163" s="10"/>
      <c r="E163" s="10"/>
      <c r="F163" s="16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 ht="16.5" customHeight="1">
      <c r="A164" s="10"/>
      <c r="B164" s="10"/>
      <c r="C164" s="10"/>
      <c r="D164" s="10"/>
      <c r="E164" s="10"/>
      <c r="F164" s="16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 ht="16.5" customHeight="1">
      <c r="A165" s="10"/>
      <c r="B165" s="10"/>
      <c r="C165" s="10"/>
      <c r="D165" s="10"/>
      <c r="E165" s="10"/>
      <c r="F165" s="16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 ht="16.5" customHeight="1">
      <c r="A166" s="10"/>
      <c r="B166" s="10"/>
      <c r="C166" s="10"/>
      <c r="D166" s="10"/>
      <c r="E166" s="10"/>
      <c r="F166" s="16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 ht="16.5" customHeight="1">
      <c r="A167" s="10"/>
      <c r="B167" s="10"/>
      <c r="C167" s="10"/>
      <c r="D167" s="10"/>
      <c r="E167" s="10"/>
      <c r="F167" s="16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 ht="16.5" customHeight="1">
      <c r="A168" s="10"/>
      <c r="B168" s="10"/>
      <c r="C168" s="10"/>
      <c r="D168" s="10"/>
      <c r="E168" s="10"/>
      <c r="F168" s="16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 ht="16.5" customHeight="1">
      <c r="A169" s="10"/>
      <c r="B169" s="10"/>
      <c r="C169" s="10"/>
      <c r="D169" s="10"/>
      <c r="E169" s="10"/>
      <c r="F169" s="16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 ht="16.5" customHeight="1">
      <c r="A170" s="10"/>
      <c r="B170" s="10"/>
      <c r="C170" s="10"/>
      <c r="D170" s="10"/>
      <c r="E170" s="10"/>
      <c r="F170" s="16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 ht="16.5" customHeight="1">
      <c r="A171" s="10"/>
      <c r="B171" s="10"/>
      <c r="C171" s="10"/>
      <c r="D171" s="10"/>
      <c r="E171" s="10"/>
      <c r="F171" s="16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 ht="16.5" customHeight="1">
      <c r="A172" s="10"/>
      <c r="B172" s="10"/>
      <c r="C172" s="10"/>
      <c r="D172" s="10"/>
      <c r="E172" s="10"/>
      <c r="F172" s="16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ht="16.5" customHeight="1">
      <c r="A173" s="10"/>
      <c r="B173" s="10"/>
      <c r="C173" s="10"/>
      <c r="D173" s="10"/>
      <c r="E173" s="10"/>
      <c r="F173" s="16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6.5" customHeight="1">
      <c r="A174" s="10"/>
      <c r="B174" s="10"/>
      <c r="C174" s="10"/>
      <c r="D174" s="10"/>
      <c r="E174" s="10"/>
      <c r="F174" s="16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 ht="16.5" customHeight="1">
      <c r="A175" s="10"/>
      <c r="B175" s="10"/>
      <c r="C175" s="10"/>
      <c r="D175" s="10"/>
      <c r="E175" s="10"/>
      <c r="F175" s="16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 ht="16.5" customHeight="1">
      <c r="A176" s="10"/>
      <c r="B176" s="10"/>
      <c r="C176" s="10"/>
      <c r="D176" s="10"/>
      <c r="E176" s="10"/>
      <c r="F176" s="16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 ht="16.5" customHeight="1">
      <c r="A177" s="10"/>
      <c r="B177" s="10"/>
      <c r="C177" s="10"/>
      <c r="D177" s="10"/>
      <c r="E177" s="10"/>
      <c r="F177" s="16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 ht="16.5" customHeight="1">
      <c r="A178" s="10"/>
      <c r="B178" s="10"/>
      <c r="C178" s="10"/>
      <c r="D178" s="10"/>
      <c r="E178" s="10"/>
      <c r="F178" s="16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 ht="16.5" customHeight="1">
      <c r="A179" s="10"/>
      <c r="B179" s="10"/>
      <c r="C179" s="10"/>
      <c r="D179" s="10"/>
      <c r="E179" s="10"/>
      <c r="F179" s="16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 ht="16.5" customHeight="1">
      <c r="A180" s="10"/>
      <c r="B180" s="10"/>
      <c r="C180" s="10"/>
      <c r="D180" s="10"/>
      <c r="E180" s="10"/>
      <c r="F180" s="16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 ht="16.5" customHeight="1">
      <c r="A181" s="10"/>
      <c r="B181" s="10"/>
      <c r="C181" s="10"/>
      <c r="D181" s="10"/>
      <c r="E181" s="10"/>
      <c r="F181" s="16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 ht="16.5" customHeight="1">
      <c r="A182" s="10"/>
      <c r="B182" s="10"/>
      <c r="C182" s="10"/>
      <c r="D182" s="10"/>
      <c r="E182" s="10"/>
      <c r="F182" s="16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 ht="16.5" customHeight="1">
      <c r="A183" s="10"/>
      <c r="B183" s="10"/>
      <c r="C183" s="10"/>
      <c r="D183" s="10"/>
      <c r="E183" s="10"/>
      <c r="F183" s="16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 ht="16.5" customHeight="1">
      <c r="A184" s="10"/>
      <c r="B184" s="10"/>
      <c r="C184" s="10"/>
      <c r="D184" s="10"/>
      <c r="E184" s="10"/>
      <c r="F184" s="16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 ht="16.5" customHeight="1">
      <c r="A185" s="10"/>
      <c r="B185" s="10"/>
      <c r="C185" s="10"/>
      <c r="D185" s="10"/>
      <c r="E185" s="10"/>
      <c r="F185" s="16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 ht="16.5" customHeight="1">
      <c r="A186" s="10"/>
      <c r="B186" s="10"/>
      <c r="C186" s="10"/>
      <c r="D186" s="10"/>
      <c r="E186" s="10"/>
      <c r="F186" s="16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 ht="16.5" customHeight="1">
      <c r="A187" s="10"/>
      <c r="B187" s="10"/>
      <c r="C187" s="10"/>
      <c r="D187" s="10"/>
      <c r="E187" s="10"/>
      <c r="F187" s="16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 ht="16.5" customHeight="1">
      <c r="A188" s="10"/>
      <c r="B188" s="10"/>
      <c r="C188" s="10"/>
      <c r="D188" s="10"/>
      <c r="E188" s="10"/>
      <c r="F188" s="16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 ht="16.5" customHeight="1">
      <c r="A189" s="10"/>
      <c r="B189" s="10"/>
      <c r="C189" s="10"/>
      <c r="D189" s="10"/>
      <c r="E189" s="10"/>
      <c r="F189" s="16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 ht="16.5" customHeight="1">
      <c r="A190" s="10"/>
      <c r="B190" s="10"/>
      <c r="C190" s="10"/>
      <c r="D190" s="10"/>
      <c r="E190" s="10"/>
      <c r="F190" s="16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 ht="16.5" customHeight="1">
      <c r="A191" s="10"/>
      <c r="B191" s="10"/>
      <c r="C191" s="10"/>
      <c r="D191" s="10"/>
      <c r="E191" s="10"/>
      <c r="F191" s="16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 ht="16.5" customHeight="1">
      <c r="A192" s="10"/>
      <c r="B192" s="10"/>
      <c r="C192" s="10"/>
      <c r="D192" s="10"/>
      <c r="E192" s="10"/>
      <c r="F192" s="16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 ht="16.5" customHeight="1">
      <c r="A193" s="10"/>
      <c r="B193" s="10"/>
      <c r="C193" s="10"/>
      <c r="D193" s="10"/>
      <c r="E193" s="10"/>
      <c r="F193" s="16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 ht="16.5" customHeight="1">
      <c r="A194" s="10"/>
      <c r="B194" s="10"/>
      <c r="C194" s="10"/>
      <c r="D194" s="10"/>
      <c r="E194" s="10"/>
      <c r="F194" s="16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 ht="16.5" customHeight="1">
      <c r="A195" s="10"/>
      <c r="B195" s="10"/>
      <c r="C195" s="10"/>
      <c r="D195" s="10"/>
      <c r="E195" s="10"/>
      <c r="F195" s="16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 ht="16.5" customHeight="1">
      <c r="A196" s="10"/>
      <c r="B196" s="10"/>
      <c r="C196" s="10"/>
      <c r="D196" s="10"/>
      <c r="E196" s="10"/>
      <c r="F196" s="16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 ht="16.5" customHeight="1">
      <c r="A197" s="10"/>
      <c r="B197" s="10"/>
      <c r="C197" s="10"/>
      <c r="D197" s="10"/>
      <c r="E197" s="10"/>
      <c r="F197" s="16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 ht="16.5" customHeight="1">
      <c r="A198" s="10"/>
      <c r="B198" s="10"/>
      <c r="C198" s="10"/>
      <c r="D198" s="10"/>
      <c r="E198" s="10"/>
      <c r="F198" s="16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 ht="16.5" customHeight="1">
      <c r="A199" s="10"/>
      <c r="B199" s="10"/>
      <c r="C199" s="10"/>
      <c r="D199" s="10"/>
      <c r="E199" s="10"/>
      <c r="F199" s="16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 ht="16.5" customHeight="1">
      <c r="A200" s="10"/>
      <c r="B200" s="10"/>
      <c r="C200" s="10"/>
      <c r="D200" s="10"/>
      <c r="E200" s="10"/>
      <c r="F200" s="16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 ht="16.5" customHeight="1">
      <c r="A201" s="10"/>
      <c r="B201" s="10"/>
      <c r="C201" s="10"/>
      <c r="D201" s="10"/>
      <c r="E201" s="10"/>
      <c r="F201" s="16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 ht="16.5" customHeight="1">
      <c r="A202" s="10"/>
      <c r="B202" s="10"/>
      <c r="C202" s="10"/>
      <c r="D202" s="10"/>
      <c r="E202" s="10"/>
      <c r="F202" s="16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 ht="16.5" customHeight="1">
      <c r="A203" s="10"/>
      <c r="B203" s="10"/>
      <c r="C203" s="10"/>
      <c r="D203" s="10"/>
      <c r="E203" s="10"/>
      <c r="F203" s="16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 ht="16.5" customHeight="1">
      <c r="A204" s="10"/>
      <c r="B204" s="10"/>
      <c r="C204" s="10"/>
      <c r="D204" s="10"/>
      <c r="E204" s="10"/>
      <c r="F204" s="16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 ht="16.5" customHeight="1">
      <c r="A205" s="10"/>
      <c r="B205" s="10"/>
      <c r="C205" s="10"/>
      <c r="D205" s="10"/>
      <c r="E205" s="10"/>
      <c r="F205" s="16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 ht="16.5" customHeight="1">
      <c r="A206" s="10"/>
      <c r="B206" s="10"/>
      <c r="C206" s="10"/>
      <c r="D206" s="10"/>
      <c r="E206" s="10"/>
      <c r="F206" s="16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 ht="16.5" customHeight="1">
      <c r="A207" s="10"/>
      <c r="B207" s="10"/>
      <c r="C207" s="10"/>
      <c r="D207" s="10"/>
      <c r="E207" s="10"/>
      <c r="F207" s="16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 ht="16.5" customHeight="1">
      <c r="A208" s="10"/>
      <c r="B208" s="10"/>
      <c r="C208" s="10"/>
      <c r="D208" s="10"/>
      <c r="E208" s="10"/>
      <c r="F208" s="16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 ht="16.5" customHeight="1">
      <c r="A209" s="10"/>
      <c r="B209" s="10"/>
      <c r="C209" s="10"/>
      <c r="D209" s="10"/>
      <c r="E209" s="10"/>
      <c r="F209" s="16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 ht="16.5" customHeight="1">
      <c r="A210" s="10"/>
      <c r="B210" s="10"/>
      <c r="C210" s="10"/>
      <c r="D210" s="10"/>
      <c r="E210" s="10"/>
      <c r="F210" s="16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 ht="16.5" customHeight="1">
      <c r="A211" s="10"/>
      <c r="B211" s="10"/>
      <c r="C211" s="10"/>
      <c r="D211" s="10"/>
      <c r="E211" s="10"/>
      <c r="F211" s="16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 ht="16.5" customHeight="1">
      <c r="A212" s="10"/>
      <c r="B212" s="10"/>
      <c r="C212" s="10"/>
      <c r="D212" s="10"/>
      <c r="E212" s="10"/>
      <c r="F212" s="16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 ht="16.5" customHeight="1">
      <c r="A213" s="10"/>
      <c r="B213" s="10"/>
      <c r="C213" s="10"/>
      <c r="D213" s="10"/>
      <c r="E213" s="10"/>
      <c r="F213" s="16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 ht="16.5" customHeight="1">
      <c r="A214" s="10"/>
      <c r="B214" s="10"/>
      <c r="C214" s="10"/>
      <c r="D214" s="10"/>
      <c r="E214" s="10"/>
      <c r="F214" s="16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 ht="16.5" customHeight="1">
      <c r="A215" s="10"/>
      <c r="B215" s="10"/>
      <c r="C215" s="10"/>
      <c r="D215" s="10"/>
      <c r="E215" s="10"/>
      <c r="F215" s="16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 ht="16.5" customHeight="1">
      <c r="A216" s="10"/>
      <c r="B216" s="10"/>
      <c r="C216" s="10"/>
      <c r="D216" s="10"/>
      <c r="E216" s="10"/>
      <c r="F216" s="16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16.5" customHeight="1">
      <c r="A217" s="10"/>
      <c r="B217" s="10"/>
      <c r="C217" s="10"/>
      <c r="D217" s="10"/>
      <c r="E217" s="10"/>
      <c r="F217" s="16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ht="16.5" customHeight="1">
      <c r="A218" s="10"/>
      <c r="B218" s="10"/>
      <c r="C218" s="10"/>
      <c r="D218" s="10"/>
      <c r="E218" s="10"/>
      <c r="F218" s="16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 ht="16.5" customHeight="1">
      <c r="A219" s="10"/>
      <c r="B219" s="10"/>
      <c r="C219" s="10"/>
      <c r="D219" s="10"/>
      <c r="E219" s="10"/>
      <c r="F219" s="16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 ht="16.5" customHeight="1">
      <c r="A220" s="10"/>
      <c r="B220" s="10"/>
      <c r="C220" s="10"/>
      <c r="D220" s="10"/>
      <c r="E220" s="10"/>
      <c r="F220" s="16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 ht="16.5" customHeight="1">
      <c r="A221" s="10"/>
      <c r="B221" s="10"/>
      <c r="C221" s="10"/>
      <c r="D221" s="10"/>
      <c r="E221" s="10"/>
      <c r="F221" s="16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 ht="16.5" customHeight="1">
      <c r="A222" s="10"/>
      <c r="B222" s="10"/>
      <c r="C222" s="10"/>
      <c r="D222" s="10"/>
      <c r="E222" s="10"/>
      <c r="F222" s="16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 ht="16.5" customHeight="1">
      <c r="A223" s="10"/>
      <c r="B223" s="10"/>
      <c r="C223" s="10"/>
      <c r="D223" s="10"/>
      <c r="E223" s="10"/>
      <c r="F223" s="16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 ht="16.5" customHeight="1">
      <c r="A224" s="10"/>
      <c r="B224" s="10"/>
      <c r="C224" s="10"/>
      <c r="D224" s="10"/>
      <c r="E224" s="10"/>
      <c r="F224" s="16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 ht="16.5" customHeight="1">
      <c r="A225" s="10"/>
      <c r="B225" s="10"/>
      <c r="C225" s="10"/>
      <c r="D225" s="10"/>
      <c r="E225" s="10"/>
      <c r="F225" s="16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 ht="16.5" customHeight="1">
      <c r="A226" s="10"/>
      <c r="B226" s="10"/>
      <c r="C226" s="10"/>
      <c r="D226" s="10"/>
      <c r="E226" s="10"/>
      <c r="F226" s="168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 ht="16.5" customHeight="1">
      <c r="A227" s="10"/>
      <c r="B227" s="10"/>
      <c r="C227" s="10"/>
      <c r="D227" s="10"/>
      <c r="E227" s="10"/>
      <c r="F227" s="168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 ht="16.5" customHeight="1">
      <c r="A228" s="10"/>
      <c r="B228" s="10"/>
      <c r="C228" s="10"/>
      <c r="D228" s="10"/>
      <c r="E228" s="10"/>
      <c r="F228" s="168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 ht="16.5" customHeight="1">
      <c r="A229" s="10"/>
      <c r="B229" s="10"/>
      <c r="C229" s="10"/>
      <c r="D229" s="10"/>
      <c r="E229" s="10"/>
      <c r="F229" s="168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 ht="16.5" customHeight="1">
      <c r="A230" s="10"/>
      <c r="B230" s="10"/>
      <c r="C230" s="10"/>
      <c r="D230" s="10"/>
      <c r="E230" s="10"/>
      <c r="F230" s="168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 ht="16.5" customHeight="1">
      <c r="A231" s="10"/>
      <c r="B231" s="10"/>
      <c r="C231" s="10"/>
      <c r="D231" s="10"/>
      <c r="E231" s="10"/>
      <c r="F231" s="168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 ht="16.5" customHeight="1">
      <c r="A232" s="10"/>
      <c r="B232" s="10"/>
      <c r="C232" s="10"/>
      <c r="D232" s="10"/>
      <c r="E232" s="10"/>
      <c r="F232" s="168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 ht="16.5" customHeight="1">
      <c r="A233" s="10"/>
      <c r="B233" s="10"/>
      <c r="C233" s="10"/>
      <c r="D233" s="10"/>
      <c r="E233" s="10"/>
      <c r="F233" s="168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 ht="16.5" customHeight="1">
      <c r="A234" s="10"/>
      <c r="B234" s="10"/>
      <c r="C234" s="10"/>
      <c r="D234" s="10"/>
      <c r="E234" s="10"/>
      <c r="F234" s="168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 ht="16.5" customHeight="1">
      <c r="A235" s="10"/>
      <c r="B235" s="10"/>
      <c r="C235" s="10"/>
      <c r="D235" s="10"/>
      <c r="E235" s="10"/>
      <c r="F235" s="168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 ht="16.5" customHeight="1">
      <c r="A236" s="10"/>
      <c r="B236" s="10"/>
      <c r="C236" s="10"/>
      <c r="D236" s="10"/>
      <c r="E236" s="10"/>
      <c r="F236" s="168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 ht="16.5" customHeight="1">
      <c r="A237" s="10"/>
      <c r="B237" s="10"/>
      <c r="C237" s="10"/>
      <c r="D237" s="10"/>
      <c r="E237" s="10"/>
      <c r="F237" s="168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 ht="16.5" customHeight="1">
      <c r="A238" s="10"/>
      <c r="B238" s="10"/>
      <c r="C238" s="10"/>
      <c r="D238" s="10"/>
      <c r="E238" s="10"/>
      <c r="F238" s="168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 ht="16.5" customHeight="1">
      <c r="A239" s="10"/>
      <c r="B239" s="10"/>
      <c r="C239" s="10"/>
      <c r="D239" s="10"/>
      <c r="E239" s="10"/>
      <c r="F239" s="168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 ht="16.5" customHeight="1">
      <c r="A240" s="10"/>
      <c r="B240" s="10"/>
      <c r="C240" s="10"/>
      <c r="D240" s="10"/>
      <c r="E240" s="10"/>
      <c r="F240" s="168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 ht="16.5" customHeight="1">
      <c r="A241" s="10"/>
      <c r="B241" s="10"/>
      <c r="C241" s="10"/>
      <c r="D241" s="10"/>
      <c r="E241" s="10"/>
      <c r="F241" s="168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 ht="16.5" customHeight="1">
      <c r="A242" s="10"/>
      <c r="B242" s="10"/>
      <c r="C242" s="10"/>
      <c r="D242" s="10"/>
      <c r="E242" s="10"/>
      <c r="F242" s="168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ht="16.5" customHeight="1">
      <c r="A243" s="10"/>
      <c r="B243" s="10"/>
      <c r="C243" s="10"/>
      <c r="D243" s="10"/>
      <c r="E243" s="10"/>
      <c r="F243" s="168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ht="16.5" customHeight="1">
      <c r="A244" s="10"/>
      <c r="B244" s="10"/>
      <c r="C244" s="10"/>
      <c r="D244" s="10"/>
      <c r="E244" s="10"/>
      <c r="F244" s="16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 ht="16.5" customHeight="1">
      <c r="A245" s="10"/>
      <c r="B245" s="10"/>
      <c r="C245" s="10"/>
      <c r="D245" s="10"/>
      <c r="E245" s="10"/>
      <c r="F245" s="168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 ht="16.5" customHeight="1">
      <c r="A246" s="10"/>
      <c r="B246" s="10"/>
      <c r="C246" s="10"/>
      <c r="D246" s="10"/>
      <c r="E246" s="10"/>
      <c r="F246" s="168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 ht="16.5" customHeight="1">
      <c r="A247" s="10"/>
      <c r="B247" s="10"/>
      <c r="C247" s="10"/>
      <c r="D247" s="10"/>
      <c r="E247" s="10"/>
      <c r="F247" s="168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ht="16.5" customHeight="1">
      <c r="A248" s="10"/>
      <c r="B248" s="10"/>
      <c r="C248" s="10"/>
      <c r="D248" s="10"/>
      <c r="E248" s="10"/>
      <c r="F248" s="168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 ht="16.5" customHeight="1">
      <c r="A249" s="10"/>
      <c r="B249" s="10"/>
      <c r="C249" s="10"/>
      <c r="D249" s="10"/>
      <c r="E249" s="10"/>
      <c r="F249" s="168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 ht="16.5" customHeight="1">
      <c r="A250" s="10"/>
      <c r="B250" s="10"/>
      <c r="C250" s="10"/>
      <c r="D250" s="10"/>
      <c r="E250" s="10"/>
      <c r="F250" s="168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 ht="16.5" customHeight="1">
      <c r="A251" s="10"/>
      <c r="B251" s="10"/>
      <c r="C251" s="10"/>
      <c r="D251" s="10"/>
      <c r="E251" s="10"/>
      <c r="F251" s="168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 ht="16.5" customHeight="1">
      <c r="A252" s="10"/>
      <c r="B252" s="10"/>
      <c r="C252" s="10"/>
      <c r="D252" s="10"/>
      <c r="E252" s="10"/>
      <c r="F252" s="168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 ht="16.5" customHeight="1">
      <c r="A253" s="10"/>
      <c r="B253" s="10"/>
      <c r="C253" s="10"/>
      <c r="D253" s="10"/>
      <c r="E253" s="10"/>
      <c r="F253" s="168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 ht="16.5" customHeight="1">
      <c r="A254" s="10"/>
      <c r="B254" s="10"/>
      <c r="C254" s="10"/>
      <c r="D254" s="10"/>
      <c r="E254" s="10"/>
      <c r="F254" s="168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 ht="16.5" customHeight="1">
      <c r="A255" s="10"/>
      <c r="B255" s="10"/>
      <c r="C255" s="10"/>
      <c r="D255" s="10"/>
      <c r="E255" s="10"/>
      <c r="F255" s="168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 ht="16.5" customHeight="1">
      <c r="A256" s="10"/>
      <c r="B256" s="10"/>
      <c r="C256" s="10"/>
      <c r="D256" s="10"/>
      <c r="E256" s="10"/>
      <c r="F256" s="168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 ht="16.5" customHeight="1">
      <c r="A257" s="10"/>
      <c r="B257" s="10"/>
      <c r="C257" s="10"/>
      <c r="D257" s="10"/>
      <c r="E257" s="10"/>
      <c r="F257" s="168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 ht="16.5" customHeight="1">
      <c r="A258" s="10"/>
      <c r="B258" s="10"/>
      <c r="C258" s="10"/>
      <c r="D258" s="10"/>
      <c r="E258" s="10"/>
      <c r="F258" s="168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 ht="16.5" customHeight="1">
      <c r="A259" s="10"/>
      <c r="B259" s="10"/>
      <c r="C259" s="10"/>
      <c r="D259" s="10"/>
      <c r="E259" s="10"/>
      <c r="F259" s="168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 ht="16.5" customHeight="1">
      <c r="A260" s="10"/>
      <c r="B260" s="10"/>
      <c r="C260" s="10"/>
      <c r="D260" s="10"/>
      <c r="E260" s="10"/>
      <c r="F260" s="168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 ht="16.5" customHeight="1">
      <c r="A261" s="10"/>
      <c r="B261" s="10"/>
      <c r="C261" s="10"/>
      <c r="D261" s="10"/>
      <c r="E261" s="10"/>
      <c r="F261" s="168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 ht="16.5" customHeight="1">
      <c r="A262" s="10"/>
      <c r="B262" s="10"/>
      <c r="C262" s="10"/>
      <c r="D262" s="10"/>
      <c r="E262" s="10"/>
      <c r="F262" s="168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 ht="16.5" customHeight="1">
      <c r="A263" s="10"/>
      <c r="B263" s="10"/>
      <c r="C263" s="10"/>
      <c r="D263" s="10"/>
      <c r="E263" s="10"/>
      <c r="F263" s="168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 ht="16.5" customHeight="1">
      <c r="A264" s="10"/>
      <c r="B264" s="10"/>
      <c r="C264" s="10"/>
      <c r="D264" s="10"/>
      <c r="E264" s="10"/>
      <c r="F264" s="168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 ht="16.5" customHeight="1">
      <c r="A265" s="10"/>
      <c r="B265" s="10"/>
      <c r="C265" s="10"/>
      <c r="D265" s="10"/>
      <c r="E265" s="10"/>
      <c r="F265" s="168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 ht="16.5" customHeight="1">
      <c r="A266" s="10"/>
      <c r="B266" s="10"/>
      <c r="C266" s="10"/>
      <c r="D266" s="10"/>
      <c r="E266" s="10"/>
      <c r="F266" s="168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 ht="16.5" customHeight="1">
      <c r="A267" s="10"/>
      <c r="B267" s="10"/>
      <c r="C267" s="10"/>
      <c r="D267" s="10"/>
      <c r="E267" s="10"/>
      <c r="F267" s="168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 ht="16.5" customHeight="1">
      <c r="A268" s="10"/>
      <c r="B268" s="10"/>
      <c r="C268" s="10"/>
      <c r="D268" s="10"/>
      <c r="E268" s="10"/>
      <c r="F268" s="168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 ht="16.5" customHeight="1">
      <c r="A269" s="10"/>
      <c r="B269" s="10"/>
      <c r="C269" s="10"/>
      <c r="D269" s="10"/>
      <c r="E269" s="10"/>
      <c r="F269" s="16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 ht="16.5" customHeight="1">
      <c r="A270" s="10"/>
      <c r="B270" s="10"/>
      <c r="C270" s="10"/>
      <c r="D270" s="10"/>
      <c r="E270" s="10"/>
      <c r="F270" s="16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 ht="16.5" customHeight="1">
      <c r="A271" s="10"/>
      <c r="B271" s="10"/>
      <c r="C271" s="10"/>
      <c r="D271" s="10"/>
      <c r="E271" s="10"/>
      <c r="F271" s="168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 ht="16.5" customHeight="1">
      <c r="A272" s="10"/>
      <c r="B272" s="10"/>
      <c r="C272" s="10"/>
      <c r="D272" s="10"/>
      <c r="E272" s="10"/>
      <c r="F272" s="168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 ht="16.5" customHeight="1">
      <c r="A273" s="10"/>
      <c r="B273" s="10"/>
      <c r="C273" s="10"/>
      <c r="D273" s="10"/>
      <c r="E273" s="10"/>
      <c r="F273" s="168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 ht="16.5" customHeight="1">
      <c r="A274" s="10"/>
      <c r="B274" s="10"/>
      <c r="C274" s="10"/>
      <c r="D274" s="10"/>
      <c r="E274" s="10"/>
      <c r="F274" s="168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 ht="16.5" customHeight="1">
      <c r="A275" s="10"/>
      <c r="B275" s="10"/>
      <c r="C275" s="10"/>
      <c r="D275" s="10"/>
      <c r="E275" s="10"/>
      <c r="F275" s="168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 ht="16.5" customHeight="1">
      <c r="A276" s="10"/>
      <c r="B276" s="10"/>
      <c r="C276" s="10"/>
      <c r="D276" s="10"/>
      <c r="E276" s="10"/>
      <c r="F276" s="168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 ht="16.5" customHeight="1">
      <c r="A277" s="10"/>
      <c r="B277" s="10"/>
      <c r="C277" s="10"/>
      <c r="D277" s="10"/>
      <c r="E277" s="10"/>
      <c r="F277" s="168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 ht="16.5" customHeight="1">
      <c r="A278" s="10"/>
      <c r="B278" s="10"/>
      <c r="C278" s="10"/>
      <c r="D278" s="10"/>
      <c r="E278" s="10"/>
      <c r="F278" s="168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 ht="16.5" customHeight="1">
      <c r="A279" s="10"/>
      <c r="B279" s="10"/>
      <c r="C279" s="10"/>
      <c r="D279" s="10"/>
      <c r="E279" s="10"/>
      <c r="F279" s="168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 ht="16.5" customHeight="1">
      <c r="A280" s="10"/>
      <c r="B280" s="10"/>
      <c r="C280" s="10"/>
      <c r="D280" s="10"/>
      <c r="E280" s="10"/>
      <c r="F280" s="168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 ht="16.5" customHeight="1">
      <c r="A281" s="10"/>
      <c r="B281" s="10"/>
      <c r="C281" s="10"/>
      <c r="D281" s="10"/>
      <c r="E281" s="10"/>
      <c r="F281" s="168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 ht="16.5" customHeight="1">
      <c r="A282" s="10"/>
      <c r="B282" s="10"/>
      <c r="C282" s="10"/>
      <c r="D282" s="10"/>
      <c r="E282" s="10"/>
      <c r="F282" s="168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 ht="16.5" customHeight="1">
      <c r="A283" s="10"/>
      <c r="B283" s="10"/>
      <c r="C283" s="10"/>
      <c r="D283" s="10"/>
      <c r="E283" s="10"/>
      <c r="F283" s="168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 ht="16.5" customHeight="1">
      <c r="A284" s="10"/>
      <c r="B284" s="10"/>
      <c r="C284" s="10"/>
      <c r="D284" s="10"/>
      <c r="E284" s="10"/>
      <c r="F284" s="168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 ht="16.5" customHeight="1">
      <c r="A285" s="10"/>
      <c r="B285" s="10"/>
      <c r="C285" s="10"/>
      <c r="D285" s="10"/>
      <c r="E285" s="10"/>
      <c r="F285" s="168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 ht="16.5" customHeight="1">
      <c r="A286" s="10"/>
      <c r="B286" s="10"/>
      <c r="C286" s="10"/>
      <c r="D286" s="10"/>
      <c r="E286" s="10"/>
      <c r="F286" s="168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 ht="16.5" customHeight="1">
      <c r="A287" s="10"/>
      <c r="B287" s="10"/>
      <c r="C287" s="10"/>
      <c r="D287" s="10"/>
      <c r="E287" s="10"/>
      <c r="F287" s="168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 ht="16.5" customHeight="1">
      <c r="A288" s="10"/>
      <c r="B288" s="10"/>
      <c r="C288" s="10"/>
      <c r="D288" s="10"/>
      <c r="E288" s="10"/>
      <c r="F288" s="168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 ht="16.5" customHeight="1">
      <c r="A289" s="10"/>
      <c r="B289" s="10"/>
      <c r="C289" s="10"/>
      <c r="D289" s="10"/>
      <c r="E289" s="10"/>
      <c r="F289" s="168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 ht="16.5" customHeight="1">
      <c r="A290" s="10"/>
      <c r="B290" s="10"/>
      <c r="C290" s="10"/>
      <c r="D290" s="10"/>
      <c r="E290" s="10"/>
      <c r="F290" s="168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 ht="16.5" customHeight="1">
      <c r="A291" s="10"/>
      <c r="B291" s="10"/>
      <c r="C291" s="10"/>
      <c r="D291" s="10"/>
      <c r="E291" s="10"/>
      <c r="F291" s="168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 ht="16.5" customHeight="1">
      <c r="A292" s="10"/>
      <c r="B292" s="10"/>
      <c r="C292" s="10"/>
      <c r="D292" s="10"/>
      <c r="E292" s="10"/>
      <c r="F292" s="168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 ht="16.5" customHeight="1">
      <c r="A293" s="10"/>
      <c r="B293" s="10"/>
      <c r="C293" s="10"/>
      <c r="D293" s="10"/>
      <c r="E293" s="10"/>
      <c r="F293" s="168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 ht="16.5" customHeight="1">
      <c r="A294" s="10"/>
      <c r="B294" s="10"/>
      <c r="C294" s="10"/>
      <c r="D294" s="10"/>
      <c r="E294" s="10"/>
      <c r="F294" s="168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 ht="16.5" customHeight="1">
      <c r="A295" s="10"/>
      <c r="B295" s="10"/>
      <c r="C295" s="10"/>
      <c r="D295" s="10"/>
      <c r="E295" s="10"/>
      <c r="F295" s="16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 ht="16.5" customHeight="1">
      <c r="A296" s="10"/>
      <c r="B296" s="10"/>
      <c r="C296" s="10"/>
      <c r="D296" s="10"/>
      <c r="E296" s="10"/>
      <c r="F296" s="168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 ht="16.5" customHeight="1">
      <c r="A297" s="10"/>
      <c r="B297" s="10"/>
      <c r="C297" s="10"/>
      <c r="D297" s="10"/>
      <c r="E297" s="10"/>
      <c r="F297" s="168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 ht="16.5" customHeight="1">
      <c r="A298" s="10"/>
      <c r="B298" s="10"/>
      <c r="C298" s="10"/>
      <c r="D298" s="10"/>
      <c r="E298" s="10"/>
      <c r="F298" s="168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 ht="16.5" customHeight="1">
      <c r="A299" s="10"/>
      <c r="B299" s="10"/>
      <c r="C299" s="10"/>
      <c r="D299" s="10"/>
      <c r="E299" s="10"/>
      <c r="F299" s="168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 ht="16.5" customHeight="1">
      <c r="A300" s="10"/>
      <c r="B300" s="10"/>
      <c r="C300" s="10"/>
      <c r="D300" s="10"/>
      <c r="E300" s="10"/>
      <c r="F300" s="168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 ht="16.5" customHeight="1">
      <c r="A301" s="10"/>
      <c r="B301" s="10"/>
      <c r="C301" s="10"/>
      <c r="D301" s="10"/>
      <c r="E301" s="10"/>
      <c r="F301" s="168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 ht="16.5" customHeight="1">
      <c r="A302" s="10"/>
      <c r="B302" s="10"/>
      <c r="C302" s="10"/>
      <c r="D302" s="10"/>
      <c r="E302" s="10"/>
      <c r="F302" s="168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 ht="16.5" customHeight="1">
      <c r="A303" s="10"/>
      <c r="B303" s="10"/>
      <c r="C303" s="10"/>
      <c r="D303" s="10"/>
      <c r="E303" s="10"/>
      <c r="F303" s="168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 ht="16.5" customHeight="1">
      <c r="A304" s="10"/>
      <c r="B304" s="10"/>
      <c r="C304" s="10"/>
      <c r="D304" s="10"/>
      <c r="E304" s="10"/>
      <c r="F304" s="168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 ht="16.5" customHeight="1">
      <c r="A305" s="10"/>
      <c r="B305" s="10"/>
      <c r="C305" s="10"/>
      <c r="D305" s="10"/>
      <c r="E305" s="10"/>
      <c r="F305" s="168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 ht="16.5" customHeight="1">
      <c r="A306" s="10"/>
      <c r="B306" s="10"/>
      <c r="C306" s="10"/>
      <c r="D306" s="10"/>
      <c r="E306" s="10"/>
      <c r="F306" s="168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 ht="16.5" customHeight="1">
      <c r="A307" s="10"/>
      <c r="B307" s="10"/>
      <c r="C307" s="10"/>
      <c r="D307" s="10"/>
      <c r="E307" s="10"/>
      <c r="F307" s="168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 ht="16.5" customHeight="1">
      <c r="A308" s="10"/>
      <c r="B308" s="10"/>
      <c r="C308" s="10"/>
      <c r="D308" s="10"/>
      <c r="E308" s="10"/>
      <c r="F308" s="168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 ht="16.5" customHeight="1">
      <c r="A309" s="10"/>
      <c r="B309" s="10"/>
      <c r="C309" s="10"/>
      <c r="D309" s="10"/>
      <c r="E309" s="10"/>
      <c r="F309" s="16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 ht="16.5" customHeight="1">
      <c r="A310" s="10"/>
      <c r="B310" s="10"/>
      <c r="C310" s="10"/>
      <c r="D310" s="10"/>
      <c r="E310" s="10"/>
      <c r="F310" s="168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 ht="16.5" customHeight="1">
      <c r="A311" s="10"/>
      <c r="B311" s="10"/>
      <c r="C311" s="10"/>
      <c r="D311" s="10"/>
      <c r="E311" s="10"/>
      <c r="F311" s="168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 ht="16.5" customHeight="1">
      <c r="A312" s="10"/>
      <c r="B312" s="10"/>
      <c r="C312" s="10"/>
      <c r="D312" s="10"/>
      <c r="E312" s="10"/>
      <c r="F312" s="168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 ht="16.5" customHeight="1">
      <c r="A313" s="10"/>
      <c r="B313" s="10"/>
      <c r="C313" s="10"/>
      <c r="D313" s="10"/>
      <c r="E313" s="10"/>
      <c r="F313" s="168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 ht="16.5" customHeight="1">
      <c r="A314" s="10"/>
      <c r="B314" s="10"/>
      <c r="C314" s="10"/>
      <c r="D314" s="10"/>
      <c r="E314" s="10"/>
      <c r="F314" s="168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 ht="16.5" customHeight="1">
      <c r="A315" s="10"/>
      <c r="B315" s="10"/>
      <c r="C315" s="10"/>
      <c r="D315" s="10"/>
      <c r="E315" s="10"/>
      <c r="F315" s="168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 ht="16.5" customHeight="1">
      <c r="A316" s="10"/>
      <c r="B316" s="10"/>
      <c r="C316" s="10"/>
      <c r="D316" s="10"/>
      <c r="E316" s="10"/>
      <c r="F316" s="168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 ht="16.5" customHeight="1">
      <c r="A317" s="10"/>
      <c r="B317" s="10"/>
      <c r="C317" s="10"/>
      <c r="D317" s="10"/>
      <c r="E317" s="10"/>
      <c r="F317" s="168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 ht="16.5" customHeight="1">
      <c r="A318" s="10"/>
      <c r="B318" s="10"/>
      <c r="C318" s="10"/>
      <c r="D318" s="10"/>
      <c r="E318" s="10"/>
      <c r="F318" s="168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 ht="16.5" customHeight="1">
      <c r="A319" s="10"/>
      <c r="B319" s="10"/>
      <c r="C319" s="10"/>
      <c r="D319" s="10"/>
      <c r="E319" s="10"/>
      <c r="F319" s="168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 ht="16.5" customHeight="1">
      <c r="A320" s="10"/>
      <c r="B320" s="10"/>
      <c r="C320" s="10"/>
      <c r="D320" s="10"/>
      <c r="E320" s="10"/>
      <c r="F320" s="168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 ht="16.5" customHeight="1">
      <c r="A321" s="10"/>
      <c r="B321" s="10"/>
      <c r="C321" s="10"/>
      <c r="D321" s="10"/>
      <c r="E321" s="10"/>
      <c r="F321" s="168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 ht="16.5" customHeight="1">
      <c r="A322" s="10"/>
      <c r="B322" s="10"/>
      <c r="C322" s="10"/>
      <c r="D322" s="10"/>
      <c r="E322" s="10"/>
      <c r="F322" s="168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 ht="16.5" customHeight="1">
      <c r="A323" s="10"/>
      <c r="B323" s="10"/>
      <c r="C323" s="10"/>
      <c r="D323" s="10"/>
      <c r="E323" s="10"/>
      <c r="F323" s="168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 ht="16.5" customHeight="1">
      <c r="A324" s="10"/>
      <c r="B324" s="10"/>
      <c r="C324" s="10"/>
      <c r="D324" s="10"/>
      <c r="E324" s="10"/>
      <c r="F324" s="168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 ht="16.5" customHeight="1">
      <c r="A325" s="10"/>
      <c r="B325" s="10"/>
      <c r="C325" s="10"/>
      <c r="D325" s="10"/>
      <c r="E325" s="10"/>
      <c r="F325" s="168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 ht="16.5" customHeight="1">
      <c r="A326" s="10"/>
      <c r="B326" s="10"/>
      <c r="C326" s="10"/>
      <c r="D326" s="10"/>
      <c r="E326" s="10"/>
      <c r="F326" s="168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 ht="16.5" customHeight="1">
      <c r="A327" s="10"/>
      <c r="B327" s="10"/>
      <c r="C327" s="10"/>
      <c r="D327" s="10"/>
      <c r="E327" s="10"/>
      <c r="F327" s="168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 ht="16.5" customHeight="1">
      <c r="A328" s="10"/>
      <c r="B328" s="10"/>
      <c r="C328" s="10"/>
      <c r="D328" s="10"/>
      <c r="E328" s="10"/>
      <c r="F328" s="168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 ht="16.5" customHeight="1">
      <c r="A329" s="10"/>
      <c r="B329" s="10"/>
      <c r="C329" s="10"/>
      <c r="D329" s="10"/>
      <c r="E329" s="10"/>
      <c r="F329" s="168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 ht="16.5" customHeight="1">
      <c r="A330" s="10"/>
      <c r="B330" s="10"/>
      <c r="C330" s="10"/>
      <c r="D330" s="10"/>
      <c r="E330" s="10"/>
      <c r="F330" s="168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 ht="16.5" customHeight="1">
      <c r="A331" s="10"/>
      <c r="B331" s="10"/>
      <c r="C331" s="10"/>
      <c r="D331" s="10"/>
      <c r="E331" s="10"/>
      <c r="F331" s="168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 ht="16.5" customHeight="1">
      <c r="A332" s="10"/>
      <c r="B332" s="10"/>
      <c r="C332" s="10"/>
      <c r="D332" s="10"/>
      <c r="E332" s="10"/>
      <c r="F332" s="168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 ht="16.5" customHeight="1">
      <c r="A333" s="10"/>
      <c r="B333" s="10"/>
      <c r="C333" s="10"/>
      <c r="D333" s="10"/>
      <c r="E333" s="10"/>
      <c r="F333" s="168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 ht="16.5" customHeight="1">
      <c r="A334" s="10"/>
      <c r="B334" s="10"/>
      <c r="C334" s="10"/>
      <c r="D334" s="10"/>
      <c r="E334" s="10"/>
      <c r="F334" s="168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 ht="16.5" customHeight="1">
      <c r="A335" s="10"/>
      <c r="B335" s="10"/>
      <c r="C335" s="10"/>
      <c r="D335" s="10"/>
      <c r="E335" s="10"/>
      <c r="F335" s="168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 ht="16.5" customHeight="1">
      <c r="A336" s="10"/>
      <c r="B336" s="10"/>
      <c r="C336" s="10"/>
      <c r="D336" s="10"/>
      <c r="E336" s="10"/>
      <c r="F336" s="168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 ht="16.5" customHeight="1">
      <c r="A337" s="10"/>
      <c r="B337" s="10"/>
      <c r="C337" s="10"/>
      <c r="D337" s="10"/>
      <c r="E337" s="10"/>
      <c r="F337" s="168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 ht="16.5" customHeight="1">
      <c r="A338" s="10"/>
      <c r="B338" s="10"/>
      <c r="C338" s="10"/>
      <c r="D338" s="10"/>
      <c r="E338" s="10"/>
      <c r="F338" s="168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 ht="16.5" customHeight="1">
      <c r="A339" s="10"/>
      <c r="B339" s="10"/>
      <c r="C339" s="10"/>
      <c r="D339" s="10"/>
      <c r="E339" s="10"/>
      <c r="F339" s="168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 ht="16.5" customHeight="1">
      <c r="A340" s="10"/>
      <c r="B340" s="10"/>
      <c r="C340" s="10"/>
      <c r="D340" s="10"/>
      <c r="E340" s="10"/>
      <c r="F340" s="168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 ht="16.5" customHeight="1">
      <c r="A341" s="10"/>
      <c r="B341" s="10"/>
      <c r="C341" s="10"/>
      <c r="D341" s="10"/>
      <c r="E341" s="10"/>
      <c r="F341" s="168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 ht="16.5" customHeight="1">
      <c r="A342" s="10"/>
      <c r="B342" s="10"/>
      <c r="C342" s="10"/>
      <c r="D342" s="10"/>
      <c r="E342" s="10"/>
      <c r="F342" s="168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 ht="16.5" customHeight="1">
      <c r="A343" s="10"/>
      <c r="B343" s="10"/>
      <c r="C343" s="10"/>
      <c r="D343" s="10"/>
      <c r="E343" s="10"/>
      <c r="F343" s="168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 ht="16.5" customHeight="1">
      <c r="A344" s="10"/>
      <c r="B344" s="10"/>
      <c r="C344" s="10"/>
      <c r="D344" s="10"/>
      <c r="E344" s="10"/>
      <c r="F344" s="168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 ht="16.5" customHeight="1">
      <c r="A345" s="10"/>
      <c r="B345" s="10"/>
      <c r="C345" s="10"/>
      <c r="D345" s="10"/>
      <c r="E345" s="10"/>
      <c r="F345" s="168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 ht="16.5" customHeight="1">
      <c r="A346" s="10"/>
      <c r="B346" s="10"/>
      <c r="C346" s="10"/>
      <c r="D346" s="10"/>
      <c r="E346" s="10"/>
      <c r="F346" s="168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 ht="16.5" customHeight="1">
      <c r="A347" s="10"/>
      <c r="B347" s="10"/>
      <c r="C347" s="10"/>
      <c r="D347" s="10"/>
      <c r="E347" s="10"/>
      <c r="F347" s="168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 ht="16.5" customHeight="1">
      <c r="A348" s="10"/>
      <c r="B348" s="10"/>
      <c r="C348" s="10"/>
      <c r="D348" s="10"/>
      <c r="E348" s="10"/>
      <c r="F348" s="16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 ht="16.5" customHeight="1">
      <c r="A349" s="10"/>
      <c r="B349" s="10"/>
      <c r="C349" s="10"/>
      <c r="D349" s="10"/>
      <c r="E349" s="10"/>
      <c r="F349" s="168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 ht="16.5" customHeight="1">
      <c r="A350" s="10"/>
      <c r="B350" s="10"/>
      <c r="C350" s="10"/>
      <c r="D350" s="10"/>
      <c r="E350" s="10"/>
      <c r="F350" s="168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 ht="16.5" customHeight="1">
      <c r="A351" s="10"/>
      <c r="B351" s="10"/>
      <c r="C351" s="10"/>
      <c r="D351" s="10"/>
      <c r="E351" s="10"/>
      <c r="F351" s="168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 ht="16.5" customHeight="1">
      <c r="A352" s="10"/>
      <c r="B352" s="10"/>
      <c r="C352" s="10"/>
      <c r="D352" s="10"/>
      <c r="E352" s="10"/>
      <c r="F352" s="168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 ht="16.5" customHeight="1">
      <c r="A353" s="10"/>
      <c r="B353" s="10"/>
      <c r="C353" s="10"/>
      <c r="D353" s="10"/>
      <c r="E353" s="10"/>
      <c r="F353" s="168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 ht="16.5" customHeight="1">
      <c r="A354" s="10"/>
      <c r="B354" s="10"/>
      <c r="C354" s="10"/>
      <c r="D354" s="10"/>
      <c r="E354" s="10"/>
      <c r="F354" s="168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 ht="16.5" customHeight="1">
      <c r="A355" s="10"/>
      <c r="B355" s="10"/>
      <c r="C355" s="10"/>
      <c r="D355" s="10"/>
      <c r="E355" s="10"/>
      <c r="F355" s="168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 ht="16.5" customHeight="1">
      <c r="A356" s="10"/>
      <c r="B356" s="10"/>
      <c r="C356" s="10"/>
      <c r="D356" s="10"/>
      <c r="E356" s="10"/>
      <c r="F356" s="168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 ht="16.5" customHeight="1">
      <c r="A357" s="10"/>
      <c r="B357" s="10"/>
      <c r="C357" s="10"/>
      <c r="D357" s="10"/>
      <c r="E357" s="10"/>
      <c r="F357" s="168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 ht="16.5" customHeight="1">
      <c r="A358" s="10"/>
      <c r="B358" s="10"/>
      <c r="C358" s="10"/>
      <c r="D358" s="10"/>
      <c r="E358" s="10"/>
      <c r="F358" s="168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 ht="16.5" customHeight="1">
      <c r="A359" s="10"/>
      <c r="B359" s="10"/>
      <c r="C359" s="10"/>
      <c r="D359" s="10"/>
      <c r="E359" s="10"/>
      <c r="F359" s="168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 ht="16.5" customHeight="1">
      <c r="A360" s="10"/>
      <c r="B360" s="10"/>
      <c r="C360" s="10"/>
      <c r="D360" s="10"/>
      <c r="E360" s="10"/>
      <c r="F360" s="168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 ht="16.5" customHeight="1">
      <c r="A361" s="10"/>
      <c r="B361" s="10"/>
      <c r="C361" s="10"/>
      <c r="D361" s="10"/>
      <c r="E361" s="10"/>
      <c r="F361" s="168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 ht="16.5" customHeight="1">
      <c r="A362" s="10"/>
      <c r="B362" s="10"/>
      <c r="C362" s="10"/>
      <c r="D362" s="10"/>
      <c r="E362" s="10"/>
      <c r="F362" s="168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 ht="16.5" customHeight="1">
      <c r="A363" s="10"/>
      <c r="B363" s="10"/>
      <c r="C363" s="10"/>
      <c r="D363" s="10"/>
      <c r="E363" s="10"/>
      <c r="F363" s="168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 ht="16.5" customHeight="1">
      <c r="A364" s="10"/>
      <c r="B364" s="10"/>
      <c r="C364" s="10"/>
      <c r="D364" s="10"/>
      <c r="E364" s="10"/>
      <c r="F364" s="16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 ht="16.5" customHeight="1">
      <c r="A365" s="10"/>
      <c r="B365" s="10"/>
      <c r="C365" s="10"/>
      <c r="D365" s="10"/>
      <c r="E365" s="10"/>
      <c r="F365" s="168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 ht="16.5" customHeight="1">
      <c r="A366" s="10"/>
      <c r="B366" s="10"/>
      <c r="C366" s="10"/>
      <c r="D366" s="10"/>
      <c r="E366" s="10"/>
      <c r="F366" s="168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 ht="16.5" customHeight="1">
      <c r="A367" s="10"/>
      <c r="B367" s="10"/>
      <c r="C367" s="10"/>
      <c r="D367" s="10"/>
      <c r="E367" s="10"/>
      <c r="F367" s="168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 ht="16.5" customHeight="1">
      <c r="A368" s="10"/>
      <c r="B368" s="10"/>
      <c r="C368" s="10"/>
      <c r="D368" s="10"/>
      <c r="E368" s="10"/>
      <c r="F368" s="168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 ht="16.5" customHeight="1">
      <c r="A369" s="10"/>
      <c r="B369" s="10"/>
      <c r="C369" s="10"/>
      <c r="D369" s="10"/>
      <c r="E369" s="10"/>
      <c r="F369" s="168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 ht="16.5" customHeight="1">
      <c r="A370" s="10"/>
      <c r="B370" s="10"/>
      <c r="C370" s="10"/>
      <c r="D370" s="10"/>
      <c r="E370" s="10"/>
      <c r="F370" s="168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 ht="16.5" customHeight="1">
      <c r="A371" s="10"/>
      <c r="B371" s="10"/>
      <c r="C371" s="10"/>
      <c r="D371" s="10"/>
      <c r="E371" s="10"/>
      <c r="F371" s="168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 ht="16.5" customHeight="1">
      <c r="A372" s="10"/>
      <c r="B372" s="10"/>
      <c r="C372" s="10"/>
      <c r="D372" s="10"/>
      <c r="E372" s="10"/>
      <c r="F372" s="168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 ht="16.5" customHeight="1">
      <c r="A373" s="10"/>
      <c r="B373" s="10"/>
      <c r="C373" s="10"/>
      <c r="D373" s="10"/>
      <c r="E373" s="10"/>
      <c r="F373" s="168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 ht="16.5" customHeight="1">
      <c r="A374" s="10"/>
      <c r="B374" s="10"/>
      <c r="C374" s="10"/>
      <c r="D374" s="10"/>
      <c r="E374" s="10"/>
      <c r="F374" s="168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 ht="16.5" customHeight="1">
      <c r="A375" s="10"/>
      <c r="B375" s="10"/>
      <c r="C375" s="10"/>
      <c r="D375" s="10"/>
      <c r="E375" s="10"/>
      <c r="F375" s="168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 ht="16.5" customHeight="1">
      <c r="A376" s="10"/>
      <c r="B376" s="10"/>
      <c r="C376" s="10"/>
      <c r="D376" s="10"/>
      <c r="E376" s="10"/>
      <c r="F376" s="168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 ht="16.5" customHeight="1">
      <c r="A377" s="10"/>
      <c r="B377" s="10"/>
      <c r="C377" s="10"/>
      <c r="D377" s="10"/>
      <c r="E377" s="10"/>
      <c r="F377" s="168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 ht="16.5" customHeight="1">
      <c r="A378" s="10"/>
      <c r="B378" s="10"/>
      <c r="C378" s="10"/>
      <c r="D378" s="10"/>
      <c r="E378" s="10"/>
      <c r="F378" s="168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 ht="16.5" customHeight="1">
      <c r="A379" s="10"/>
      <c r="B379" s="10"/>
      <c r="C379" s="10"/>
      <c r="D379" s="10"/>
      <c r="E379" s="10"/>
      <c r="F379" s="168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 ht="16.5" customHeight="1">
      <c r="A380" s="10"/>
      <c r="B380" s="10"/>
      <c r="C380" s="10"/>
      <c r="D380" s="10"/>
      <c r="E380" s="10"/>
      <c r="F380" s="168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 ht="16.5" customHeight="1">
      <c r="A381" s="10"/>
      <c r="B381" s="10"/>
      <c r="C381" s="10"/>
      <c r="D381" s="10"/>
      <c r="E381" s="10"/>
      <c r="F381" s="168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 ht="16.5" customHeight="1">
      <c r="A382" s="10"/>
      <c r="B382" s="10"/>
      <c r="C382" s="10"/>
      <c r="D382" s="10"/>
      <c r="E382" s="10"/>
      <c r="F382" s="168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 ht="16.5" customHeight="1">
      <c r="A383" s="10"/>
      <c r="B383" s="10"/>
      <c r="C383" s="10"/>
      <c r="D383" s="10"/>
      <c r="E383" s="10"/>
      <c r="F383" s="168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 ht="16.5" customHeight="1">
      <c r="A384" s="10"/>
      <c r="B384" s="10"/>
      <c r="C384" s="10"/>
      <c r="D384" s="10"/>
      <c r="E384" s="10"/>
      <c r="F384" s="168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 ht="16.5" customHeight="1">
      <c r="A385" s="10"/>
      <c r="B385" s="10"/>
      <c r="C385" s="10"/>
      <c r="D385" s="10"/>
      <c r="E385" s="10"/>
      <c r="F385" s="168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 ht="16.5" customHeight="1">
      <c r="A386" s="10"/>
      <c r="B386" s="10"/>
      <c r="C386" s="10"/>
      <c r="D386" s="10"/>
      <c r="E386" s="10"/>
      <c r="F386" s="168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 ht="16.5" customHeight="1">
      <c r="A387" s="10"/>
      <c r="B387" s="10"/>
      <c r="C387" s="10"/>
      <c r="D387" s="10"/>
      <c r="E387" s="10"/>
      <c r="F387" s="168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 ht="16.5" customHeight="1">
      <c r="A388" s="10"/>
      <c r="B388" s="10"/>
      <c r="C388" s="10"/>
      <c r="D388" s="10"/>
      <c r="E388" s="10"/>
      <c r="F388" s="168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 ht="16.5" customHeight="1">
      <c r="A389" s="10"/>
      <c r="B389" s="10"/>
      <c r="C389" s="10"/>
      <c r="D389" s="10"/>
      <c r="E389" s="10"/>
      <c r="F389" s="168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 ht="16.5" customHeight="1">
      <c r="A390" s="10"/>
      <c r="B390" s="10"/>
      <c r="C390" s="10"/>
      <c r="D390" s="10"/>
      <c r="E390" s="10"/>
      <c r="F390" s="168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 ht="16.5" customHeight="1">
      <c r="A391" s="10"/>
      <c r="B391" s="10"/>
      <c r="C391" s="10"/>
      <c r="D391" s="10"/>
      <c r="E391" s="10"/>
      <c r="F391" s="168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 ht="16.5" customHeight="1">
      <c r="A392" s="10"/>
      <c r="B392" s="10"/>
      <c r="C392" s="10"/>
      <c r="D392" s="10"/>
      <c r="E392" s="10"/>
      <c r="F392" s="168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 ht="16.5" customHeight="1">
      <c r="A393" s="10"/>
      <c r="B393" s="10"/>
      <c r="C393" s="10"/>
      <c r="D393" s="10"/>
      <c r="E393" s="10"/>
      <c r="F393" s="168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 ht="16.5" customHeight="1">
      <c r="A394" s="10"/>
      <c r="B394" s="10"/>
      <c r="C394" s="10"/>
      <c r="D394" s="10"/>
      <c r="E394" s="10"/>
      <c r="F394" s="168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 ht="16.5" customHeight="1">
      <c r="A395" s="10"/>
      <c r="B395" s="10"/>
      <c r="C395" s="10"/>
      <c r="D395" s="10"/>
      <c r="E395" s="10"/>
      <c r="F395" s="168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 ht="16.5" customHeight="1">
      <c r="A396" s="10"/>
      <c r="B396" s="10"/>
      <c r="C396" s="10"/>
      <c r="D396" s="10"/>
      <c r="E396" s="10"/>
      <c r="F396" s="168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 ht="16.5" customHeight="1">
      <c r="A397" s="10"/>
      <c r="B397" s="10"/>
      <c r="C397" s="10"/>
      <c r="D397" s="10"/>
      <c r="E397" s="10"/>
      <c r="F397" s="168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 ht="16.5" customHeight="1">
      <c r="A398" s="10"/>
      <c r="B398" s="10"/>
      <c r="C398" s="10"/>
      <c r="D398" s="10"/>
      <c r="E398" s="10"/>
      <c r="F398" s="168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 ht="16.5" customHeight="1">
      <c r="A399" s="10"/>
      <c r="B399" s="10"/>
      <c r="C399" s="10"/>
      <c r="D399" s="10"/>
      <c r="E399" s="10"/>
      <c r="F399" s="168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 ht="16.5" customHeight="1">
      <c r="A400" s="10"/>
      <c r="B400" s="10"/>
      <c r="C400" s="10"/>
      <c r="D400" s="10"/>
      <c r="E400" s="10"/>
      <c r="F400" s="168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 ht="16.5" customHeight="1">
      <c r="A401" s="10"/>
      <c r="B401" s="10"/>
      <c r="C401" s="10"/>
      <c r="D401" s="10"/>
      <c r="E401" s="10"/>
      <c r="F401" s="168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 ht="16.5" customHeight="1">
      <c r="A402" s="10"/>
      <c r="B402" s="10"/>
      <c r="C402" s="10"/>
      <c r="D402" s="10"/>
      <c r="E402" s="10"/>
      <c r="F402" s="168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 ht="16.5" customHeight="1">
      <c r="A403" s="10"/>
      <c r="B403" s="10"/>
      <c r="C403" s="10"/>
      <c r="D403" s="10"/>
      <c r="E403" s="10"/>
      <c r="F403" s="168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 ht="16.5" customHeight="1">
      <c r="A404" s="10"/>
      <c r="B404" s="10"/>
      <c r="C404" s="10"/>
      <c r="D404" s="10"/>
      <c r="E404" s="10"/>
      <c r="F404" s="168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 ht="16.5" customHeight="1">
      <c r="A405" s="10"/>
      <c r="B405" s="10"/>
      <c r="C405" s="10"/>
      <c r="D405" s="10"/>
      <c r="E405" s="10"/>
      <c r="F405" s="168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 ht="16.5" customHeight="1">
      <c r="A406" s="10"/>
      <c r="B406" s="10"/>
      <c r="C406" s="10"/>
      <c r="D406" s="10"/>
      <c r="E406" s="10"/>
      <c r="F406" s="168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 ht="16.5" customHeight="1">
      <c r="A407" s="10"/>
      <c r="B407" s="10"/>
      <c r="C407" s="10"/>
      <c r="D407" s="10"/>
      <c r="E407" s="10"/>
      <c r="F407" s="168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 ht="16.5" customHeight="1">
      <c r="A408" s="10"/>
      <c r="B408" s="10"/>
      <c r="C408" s="10"/>
      <c r="D408" s="10"/>
      <c r="E408" s="10"/>
      <c r="F408" s="168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 ht="16.5" customHeight="1">
      <c r="A409" s="10"/>
      <c r="B409" s="10"/>
      <c r="C409" s="10"/>
      <c r="D409" s="10"/>
      <c r="E409" s="10"/>
      <c r="F409" s="168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 ht="16.5" customHeight="1">
      <c r="A410" s="10"/>
      <c r="B410" s="10"/>
      <c r="C410" s="10"/>
      <c r="D410" s="10"/>
      <c r="E410" s="10"/>
      <c r="F410" s="168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 ht="16.5" customHeight="1">
      <c r="A411" s="10"/>
      <c r="B411" s="10"/>
      <c r="C411" s="10"/>
      <c r="D411" s="10"/>
      <c r="E411" s="10"/>
      <c r="F411" s="168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 ht="16.5" customHeight="1">
      <c r="A412" s="10"/>
      <c r="B412" s="10"/>
      <c r="C412" s="10"/>
      <c r="D412" s="10"/>
      <c r="E412" s="10"/>
      <c r="F412" s="168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 ht="16.5" customHeight="1">
      <c r="A413" s="10"/>
      <c r="B413" s="10"/>
      <c r="C413" s="10"/>
      <c r="D413" s="10"/>
      <c r="E413" s="10"/>
      <c r="F413" s="168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 ht="16.5" customHeight="1">
      <c r="A414" s="10"/>
      <c r="B414" s="10"/>
      <c r="C414" s="10"/>
      <c r="D414" s="10"/>
      <c r="E414" s="10"/>
      <c r="F414" s="168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 ht="16.5" customHeight="1">
      <c r="A415" s="10"/>
      <c r="B415" s="10"/>
      <c r="C415" s="10"/>
      <c r="D415" s="10"/>
      <c r="E415" s="10"/>
      <c r="F415" s="168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 ht="16.5" customHeight="1">
      <c r="A416" s="10"/>
      <c r="B416" s="10"/>
      <c r="C416" s="10"/>
      <c r="D416" s="10"/>
      <c r="E416" s="10"/>
      <c r="F416" s="168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 ht="16.5" customHeight="1">
      <c r="A417" s="10"/>
      <c r="B417" s="10"/>
      <c r="C417" s="10"/>
      <c r="D417" s="10"/>
      <c r="E417" s="10"/>
      <c r="F417" s="168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 ht="16.5" customHeight="1">
      <c r="A418" s="10"/>
      <c r="B418" s="10"/>
      <c r="C418" s="10"/>
      <c r="D418" s="10"/>
      <c r="E418" s="10"/>
      <c r="F418" s="168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 ht="16.5" customHeight="1">
      <c r="A419" s="10"/>
      <c r="B419" s="10"/>
      <c r="C419" s="10"/>
      <c r="D419" s="10"/>
      <c r="E419" s="10"/>
      <c r="F419" s="168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 ht="16.5" customHeight="1">
      <c r="A420" s="10"/>
      <c r="B420" s="10"/>
      <c r="C420" s="10"/>
      <c r="D420" s="10"/>
      <c r="E420" s="10"/>
      <c r="F420" s="168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 ht="16.5" customHeight="1">
      <c r="A421" s="10"/>
      <c r="B421" s="10"/>
      <c r="C421" s="10"/>
      <c r="D421" s="10"/>
      <c r="E421" s="10"/>
      <c r="F421" s="168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 ht="16.5" customHeight="1">
      <c r="A422" s="10"/>
      <c r="B422" s="10"/>
      <c r="C422" s="10"/>
      <c r="D422" s="10"/>
      <c r="E422" s="10"/>
      <c r="F422" s="168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 ht="16.5" customHeight="1">
      <c r="A423" s="10"/>
      <c r="B423" s="10"/>
      <c r="C423" s="10"/>
      <c r="D423" s="10"/>
      <c r="E423" s="10"/>
      <c r="F423" s="168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 ht="16.5" customHeight="1">
      <c r="A424" s="10"/>
      <c r="B424" s="10"/>
      <c r="C424" s="10"/>
      <c r="D424" s="10"/>
      <c r="E424" s="10"/>
      <c r="F424" s="168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 ht="16.5" customHeight="1">
      <c r="A425" s="10"/>
      <c r="B425" s="10"/>
      <c r="C425" s="10"/>
      <c r="D425" s="10"/>
      <c r="E425" s="10"/>
      <c r="F425" s="168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 ht="16.5" customHeight="1">
      <c r="A426" s="10"/>
      <c r="B426" s="10"/>
      <c r="C426" s="10"/>
      <c r="D426" s="10"/>
      <c r="E426" s="10"/>
      <c r="F426" s="168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 ht="16.5" customHeight="1">
      <c r="A427" s="10"/>
      <c r="B427" s="10"/>
      <c r="C427" s="10"/>
      <c r="D427" s="10"/>
      <c r="E427" s="10"/>
      <c r="F427" s="168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 ht="16.5" customHeight="1">
      <c r="A428" s="10"/>
      <c r="B428" s="10"/>
      <c r="C428" s="10"/>
      <c r="D428" s="10"/>
      <c r="E428" s="10"/>
      <c r="F428" s="168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 ht="16.5" customHeight="1">
      <c r="A429" s="10"/>
      <c r="B429" s="10"/>
      <c r="C429" s="10"/>
      <c r="D429" s="10"/>
      <c r="E429" s="10"/>
      <c r="F429" s="168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 ht="16.5" customHeight="1">
      <c r="A430" s="10"/>
      <c r="B430" s="10"/>
      <c r="C430" s="10"/>
      <c r="D430" s="10"/>
      <c r="E430" s="10"/>
      <c r="F430" s="168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 ht="16.5" customHeight="1">
      <c r="A431" s="10"/>
      <c r="B431" s="10"/>
      <c r="C431" s="10"/>
      <c r="D431" s="10"/>
      <c r="E431" s="10"/>
      <c r="F431" s="168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 ht="16.5" customHeight="1">
      <c r="A432" s="10"/>
      <c r="B432" s="10"/>
      <c r="C432" s="10"/>
      <c r="D432" s="10"/>
      <c r="E432" s="10"/>
      <c r="F432" s="168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 ht="16.5" customHeight="1">
      <c r="A433" s="10"/>
      <c r="B433" s="10"/>
      <c r="C433" s="10"/>
      <c r="D433" s="10"/>
      <c r="E433" s="10"/>
      <c r="F433" s="168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 ht="16.5" customHeight="1">
      <c r="A434" s="10"/>
      <c r="B434" s="10"/>
      <c r="C434" s="10"/>
      <c r="D434" s="10"/>
      <c r="E434" s="10"/>
      <c r="F434" s="168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 ht="16.5" customHeight="1">
      <c r="A435" s="10"/>
      <c r="B435" s="10"/>
      <c r="C435" s="10"/>
      <c r="D435" s="10"/>
      <c r="E435" s="10"/>
      <c r="F435" s="168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 ht="16.5" customHeight="1">
      <c r="A436" s="10"/>
      <c r="B436" s="10"/>
      <c r="C436" s="10"/>
      <c r="D436" s="10"/>
      <c r="E436" s="10"/>
      <c r="F436" s="168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 ht="16.5" customHeight="1">
      <c r="A437" s="10"/>
      <c r="B437" s="10"/>
      <c r="C437" s="10"/>
      <c r="D437" s="10"/>
      <c r="E437" s="10"/>
      <c r="F437" s="168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 ht="16.5" customHeight="1">
      <c r="A438" s="10"/>
      <c r="B438" s="10"/>
      <c r="C438" s="10"/>
      <c r="D438" s="10"/>
      <c r="E438" s="10"/>
      <c r="F438" s="168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 ht="16.5" customHeight="1">
      <c r="A439" s="10"/>
      <c r="B439" s="10"/>
      <c r="C439" s="10"/>
      <c r="D439" s="10"/>
      <c r="E439" s="10"/>
      <c r="F439" s="168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 ht="16.5" customHeight="1">
      <c r="A440" s="10"/>
      <c r="B440" s="10"/>
      <c r="C440" s="10"/>
      <c r="D440" s="10"/>
      <c r="E440" s="10"/>
      <c r="F440" s="168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 ht="16.5" customHeight="1">
      <c r="A441" s="10"/>
      <c r="B441" s="10"/>
      <c r="C441" s="10"/>
      <c r="D441" s="10"/>
      <c r="E441" s="10"/>
      <c r="F441" s="168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 ht="16.5" customHeight="1">
      <c r="A442" s="10"/>
      <c r="B442" s="10"/>
      <c r="C442" s="10"/>
      <c r="D442" s="10"/>
      <c r="E442" s="10"/>
      <c r="F442" s="168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 ht="16.5" customHeight="1">
      <c r="A443" s="10"/>
      <c r="B443" s="10"/>
      <c r="C443" s="10"/>
      <c r="D443" s="10"/>
      <c r="E443" s="10"/>
      <c r="F443" s="168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 ht="16.5" customHeight="1">
      <c r="A444" s="10"/>
      <c r="B444" s="10"/>
      <c r="C444" s="10"/>
      <c r="D444" s="10"/>
      <c r="E444" s="10"/>
      <c r="F444" s="168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 ht="16.5" customHeight="1">
      <c r="A445" s="10"/>
      <c r="B445" s="10"/>
      <c r="C445" s="10"/>
      <c r="D445" s="10"/>
      <c r="E445" s="10"/>
      <c r="F445" s="168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 ht="16.5" customHeight="1">
      <c r="A446" s="10"/>
      <c r="B446" s="10"/>
      <c r="C446" s="10"/>
      <c r="D446" s="10"/>
      <c r="E446" s="10"/>
      <c r="F446" s="168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 ht="16.5" customHeight="1">
      <c r="A447" s="10"/>
      <c r="B447" s="10"/>
      <c r="C447" s="10"/>
      <c r="D447" s="10"/>
      <c r="E447" s="10"/>
      <c r="F447" s="168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 ht="16.5" customHeight="1">
      <c r="A448" s="10"/>
      <c r="B448" s="10"/>
      <c r="C448" s="10"/>
      <c r="D448" s="10"/>
      <c r="E448" s="10"/>
      <c r="F448" s="168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 ht="16.5" customHeight="1">
      <c r="A449" s="10"/>
      <c r="B449" s="10"/>
      <c r="C449" s="10"/>
      <c r="D449" s="10"/>
      <c r="E449" s="10"/>
      <c r="F449" s="168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 ht="16.5" customHeight="1">
      <c r="A450" s="10"/>
      <c r="B450" s="10"/>
      <c r="C450" s="10"/>
      <c r="D450" s="10"/>
      <c r="E450" s="10"/>
      <c r="F450" s="168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 ht="16.5" customHeight="1">
      <c r="A451" s="10"/>
      <c r="B451" s="10"/>
      <c r="C451" s="10"/>
      <c r="D451" s="10"/>
      <c r="E451" s="10"/>
      <c r="F451" s="168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 ht="16.5" customHeight="1">
      <c r="A452" s="10"/>
      <c r="B452" s="10"/>
      <c r="C452" s="10"/>
      <c r="D452" s="10"/>
      <c r="E452" s="10"/>
      <c r="F452" s="168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 ht="16.5" customHeight="1">
      <c r="A453" s="10"/>
      <c r="B453" s="10"/>
      <c r="C453" s="10"/>
      <c r="D453" s="10"/>
      <c r="E453" s="10"/>
      <c r="F453" s="168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 ht="16.5" customHeight="1">
      <c r="A454" s="10"/>
      <c r="B454" s="10"/>
      <c r="C454" s="10"/>
      <c r="D454" s="10"/>
      <c r="E454" s="10"/>
      <c r="F454" s="168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 ht="16.5" customHeight="1">
      <c r="A455" s="10"/>
      <c r="B455" s="10"/>
      <c r="C455" s="10"/>
      <c r="D455" s="10"/>
      <c r="E455" s="10"/>
      <c r="F455" s="168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 ht="16.5" customHeight="1">
      <c r="A456" s="10"/>
      <c r="B456" s="10"/>
      <c r="C456" s="10"/>
      <c r="D456" s="10"/>
      <c r="E456" s="10"/>
      <c r="F456" s="168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 ht="16.5" customHeight="1">
      <c r="A457" s="10"/>
      <c r="B457" s="10"/>
      <c r="C457" s="10"/>
      <c r="D457" s="10"/>
      <c r="E457" s="10"/>
      <c r="F457" s="168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 ht="16.5" customHeight="1">
      <c r="A458" s="10"/>
      <c r="B458" s="10"/>
      <c r="C458" s="10"/>
      <c r="D458" s="10"/>
      <c r="E458" s="10"/>
      <c r="F458" s="168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 ht="16.5" customHeight="1">
      <c r="A459" s="10"/>
      <c r="B459" s="10"/>
      <c r="C459" s="10"/>
      <c r="D459" s="10"/>
      <c r="E459" s="10"/>
      <c r="F459" s="168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 ht="16.5" customHeight="1">
      <c r="A460" s="10"/>
      <c r="B460" s="10"/>
      <c r="C460" s="10"/>
      <c r="D460" s="10"/>
      <c r="E460" s="10"/>
      <c r="F460" s="168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 ht="16.5" customHeight="1">
      <c r="A461" s="10"/>
      <c r="B461" s="10"/>
      <c r="C461" s="10"/>
      <c r="D461" s="10"/>
      <c r="E461" s="10"/>
      <c r="F461" s="168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 ht="16.5" customHeight="1">
      <c r="A462" s="10"/>
      <c r="B462" s="10"/>
      <c r="C462" s="10"/>
      <c r="D462" s="10"/>
      <c r="E462" s="10"/>
      <c r="F462" s="168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 ht="16.5" customHeight="1">
      <c r="A463" s="10"/>
      <c r="B463" s="10"/>
      <c r="C463" s="10"/>
      <c r="D463" s="10"/>
      <c r="E463" s="10"/>
      <c r="F463" s="168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 ht="16.5" customHeight="1">
      <c r="A464" s="10"/>
      <c r="B464" s="10"/>
      <c r="C464" s="10"/>
      <c r="D464" s="10"/>
      <c r="E464" s="10"/>
      <c r="F464" s="168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 ht="16.5" customHeight="1">
      <c r="A465" s="10"/>
      <c r="B465" s="10"/>
      <c r="C465" s="10"/>
      <c r="D465" s="10"/>
      <c r="E465" s="10"/>
      <c r="F465" s="168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 ht="16.5" customHeight="1">
      <c r="A466" s="10"/>
      <c r="B466" s="10"/>
      <c r="C466" s="10"/>
      <c r="D466" s="10"/>
      <c r="E466" s="10"/>
      <c r="F466" s="168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 ht="16.5" customHeight="1">
      <c r="A467" s="10"/>
      <c r="B467" s="10"/>
      <c r="C467" s="10"/>
      <c r="D467" s="10"/>
      <c r="E467" s="10"/>
      <c r="F467" s="168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 ht="16.5" customHeight="1">
      <c r="A468" s="10"/>
      <c r="B468" s="10"/>
      <c r="C468" s="10"/>
      <c r="D468" s="10"/>
      <c r="E468" s="10"/>
      <c r="F468" s="168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 ht="16.5" customHeight="1">
      <c r="A469" s="10"/>
      <c r="B469" s="10"/>
      <c r="C469" s="10"/>
      <c r="D469" s="10"/>
      <c r="E469" s="10"/>
      <c r="F469" s="16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 ht="16.5" customHeight="1">
      <c r="A470" s="10"/>
      <c r="B470" s="10"/>
      <c r="C470" s="10"/>
      <c r="D470" s="10"/>
      <c r="E470" s="10"/>
      <c r="F470" s="168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 ht="16.5" customHeight="1">
      <c r="A471" s="10"/>
      <c r="B471" s="10"/>
      <c r="C471" s="10"/>
      <c r="D471" s="10"/>
      <c r="E471" s="10"/>
      <c r="F471" s="168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 ht="16.5" customHeight="1">
      <c r="A472" s="10"/>
      <c r="B472" s="10"/>
      <c r="C472" s="10"/>
      <c r="D472" s="10"/>
      <c r="E472" s="10"/>
      <c r="F472" s="168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 ht="16.5" customHeight="1">
      <c r="A473" s="10"/>
      <c r="B473" s="10"/>
      <c r="C473" s="10"/>
      <c r="D473" s="10"/>
      <c r="E473" s="10"/>
      <c r="F473" s="168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 ht="16.5" customHeight="1">
      <c r="A474" s="10"/>
      <c r="B474" s="10"/>
      <c r="C474" s="10"/>
      <c r="D474" s="10"/>
      <c r="E474" s="10"/>
      <c r="F474" s="168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 ht="16.5" customHeight="1">
      <c r="A475" s="10"/>
      <c r="B475" s="10"/>
      <c r="C475" s="10"/>
      <c r="D475" s="10"/>
      <c r="E475" s="10"/>
      <c r="F475" s="168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 ht="16.5" customHeight="1">
      <c r="A476" s="10"/>
      <c r="B476" s="10"/>
      <c r="C476" s="10"/>
      <c r="D476" s="10"/>
      <c r="E476" s="10"/>
      <c r="F476" s="168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 ht="16.5" customHeight="1">
      <c r="A477" s="10"/>
      <c r="B477" s="10"/>
      <c r="C477" s="10"/>
      <c r="D477" s="10"/>
      <c r="E477" s="10"/>
      <c r="F477" s="168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 ht="16.5" customHeight="1">
      <c r="A478" s="10"/>
      <c r="B478" s="10"/>
      <c r="C478" s="10"/>
      <c r="D478" s="10"/>
      <c r="E478" s="10"/>
      <c r="F478" s="168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 ht="16.5" customHeight="1">
      <c r="A479" s="10"/>
      <c r="B479" s="10"/>
      <c r="C479" s="10"/>
      <c r="D479" s="10"/>
      <c r="E479" s="10"/>
      <c r="F479" s="168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 ht="16.5" customHeight="1">
      <c r="A480" s="10"/>
      <c r="B480" s="10"/>
      <c r="C480" s="10"/>
      <c r="D480" s="10"/>
      <c r="E480" s="10"/>
      <c r="F480" s="168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 ht="16.5" customHeight="1">
      <c r="A481" s="10"/>
      <c r="B481" s="10"/>
      <c r="C481" s="10"/>
      <c r="D481" s="10"/>
      <c r="E481" s="10"/>
      <c r="F481" s="168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 ht="16.5" customHeight="1">
      <c r="A482" s="10"/>
      <c r="B482" s="10"/>
      <c r="C482" s="10"/>
      <c r="D482" s="10"/>
      <c r="E482" s="10"/>
      <c r="F482" s="168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 ht="16.5" customHeight="1">
      <c r="A483" s="10"/>
      <c r="B483" s="10"/>
      <c r="C483" s="10"/>
      <c r="D483" s="10"/>
      <c r="E483" s="10"/>
      <c r="F483" s="168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 ht="16.5" customHeight="1">
      <c r="A484" s="10"/>
      <c r="B484" s="10"/>
      <c r="C484" s="10"/>
      <c r="D484" s="10"/>
      <c r="E484" s="10"/>
      <c r="F484" s="168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 ht="16.5" customHeight="1">
      <c r="A485" s="10"/>
      <c r="B485" s="10"/>
      <c r="C485" s="10"/>
      <c r="D485" s="10"/>
      <c r="E485" s="10"/>
      <c r="F485" s="168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 ht="16.5" customHeight="1">
      <c r="A486" s="10"/>
      <c r="B486" s="10"/>
      <c r="C486" s="10"/>
      <c r="D486" s="10"/>
      <c r="E486" s="10"/>
      <c r="F486" s="168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 ht="16.5" customHeight="1">
      <c r="A487" s="10"/>
      <c r="B487" s="10"/>
      <c r="C487" s="10"/>
      <c r="D487" s="10"/>
      <c r="E487" s="10"/>
      <c r="F487" s="168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 ht="16.5" customHeight="1">
      <c r="A488" s="10"/>
      <c r="B488" s="10"/>
      <c r="C488" s="10"/>
      <c r="D488" s="10"/>
      <c r="E488" s="10"/>
      <c r="F488" s="168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 ht="16.5" customHeight="1">
      <c r="A489" s="10"/>
      <c r="B489" s="10"/>
      <c r="C489" s="10"/>
      <c r="D489" s="10"/>
      <c r="E489" s="10"/>
      <c r="F489" s="168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ht="16.5" customHeight="1">
      <c r="A490" s="10"/>
      <c r="B490" s="10"/>
      <c r="C490" s="10"/>
      <c r="D490" s="10"/>
      <c r="E490" s="10"/>
      <c r="F490" s="168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 ht="16.5" customHeight="1">
      <c r="A491" s="10"/>
      <c r="B491" s="10"/>
      <c r="C491" s="10"/>
      <c r="D491" s="10"/>
      <c r="E491" s="10"/>
      <c r="F491" s="16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 ht="16.5" customHeight="1">
      <c r="A492" s="10"/>
      <c r="B492" s="10"/>
      <c r="C492" s="10"/>
      <c r="D492" s="10"/>
      <c r="E492" s="10"/>
      <c r="F492" s="168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 ht="16.5" customHeight="1">
      <c r="A493" s="10"/>
      <c r="B493" s="10"/>
      <c r="C493" s="10"/>
      <c r="D493" s="10"/>
      <c r="E493" s="10"/>
      <c r="F493" s="168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 ht="16.5" customHeight="1">
      <c r="A494" s="10"/>
      <c r="B494" s="10"/>
      <c r="C494" s="10"/>
      <c r="D494" s="10"/>
      <c r="E494" s="10"/>
      <c r="F494" s="168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 ht="16.5" customHeight="1">
      <c r="A495" s="10"/>
      <c r="B495" s="10"/>
      <c r="C495" s="10"/>
      <c r="D495" s="10"/>
      <c r="E495" s="10"/>
      <c r="F495" s="168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 ht="16.5" customHeight="1">
      <c r="A496" s="10"/>
      <c r="B496" s="10"/>
      <c r="C496" s="10"/>
      <c r="D496" s="10"/>
      <c r="E496" s="10"/>
      <c r="F496" s="168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 ht="16.5" customHeight="1">
      <c r="A497" s="10"/>
      <c r="B497" s="10"/>
      <c r="C497" s="10"/>
      <c r="D497" s="10"/>
      <c r="E497" s="10"/>
      <c r="F497" s="168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 ht="16.5" customHeight="1">
      <c r="A498" s="10"/>
      <c r="B498" s="10"/>
      <c r="C498" s="10"/>
      <c r="D498" s="10"/>
      <c r="E498" s="10"/>
      <c r="F498" s="168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 ht="16.5" customHeight="1">
      <c r="A499" s="10"/>
      <c r="B499" s="10"/>
      <c r="C499" s="10"/>
      <c r="D499" s="10"/>
      <c r="E499" s="10"/>
      <c r="F499" s="168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 ht="16.5" customHeight="1">
      <c r="A500" s="10"/>
      <c r="B500" s="10"/>
      <c r="C500" s="10"/>
      <c r="D500" s="10"/>
      <c r="E500" s="10"/>
      <c r="F500" s="168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 ht="16.5" customHeight="1">
      <c r="A501" s="10"/>
      <c r="B501" s="10"/>
      <c r="C501" s="10"/>
      <c r="D501" s="10"/>
      <c r="E501" s="10"/>
      <c r="F501" s="168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 ht="16.5" customHeight="1">
      <c r="A502" s="10"/>
      <c r="B502" s="10"/>
      <c r="C502" s="10"/>
      <c r="D502" s="10"/>
      <c r="E502" s="10"/>
      <c r="F502" s="16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 ht="16.5" customHeight="1">
      <c r="A503" s="10"/>
      <c r="B503" s="10"/>
      <c r="C503" s="10"/>
      <c r="D503" s="10"/>
      <c r="E503" s="10"/>
      <c r="F503" s="168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 ht="16.5" customHeight="1">
      <c r="A504" s="10"/>
      <c r="B504" s="10"/>
      <c r="C504" s="10"/>
      <c r="D504" s="10"/>
      <c r="E504" s="10"/>
      <c r="F504" s="168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 ht="16.5" customHeight="1">
      <c r="A505" s="10"/>
      <c r="B505" s="10"/>
      <c r="C505" s="10"/>
      <c r="D505" s="10"/>
      <c r="E505" s="10"/>
      <c r="F505" s="168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 ht="16.5" customHeight="1">
      <c r="A506" s="10"/>
      <c r="B506" s="10"/>
      <c r="C506" s="10"/>
      <c r="D506" s="10"/>
      <c r="E506" s="10"/>
      <c r="F506" s="168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 ht="16.5" customHeight="1">
      <c r="A507" s="10"/>
      <c r="B507" s="10"/>
      <c r="C507" s="10"/>
      <c r="D507" s="10"/>
      <c r="E507" s="10"/>
      <c r="F507" s="168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 ht="16.5" customHeight="1">
      <c r="A508" s="10"/>
      <c r="B508" s="10"/>
      <c r="C508" s="10"/>
      <c r="D508" s="10"/>
      <c r="E508" s="10"/>
      <c r="F508" s="168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 ht="16.5" customHeight="1">
      <c r="A509" s="10"/>
      <c r="B509" s="10"/>
      <c r="C509" s="10"/>
      <c r="D509" s="10"/>
      <c r="E509" s="10"/>
      <c r="F509" s="168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 ht="16.5" customHeight="1">
      <c r="A510" s="10"/>
      <c r="B510" s="10"/>
      <c r="C510" s="10"/>
      <c r="D510" s="10"/>
      <c r="E510" s="10"/>
      <c r="F510" s="168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 ht="16.5" customHeight="1">
      <c r="A511" s="10"/>
      <c r="B511" s="10"/>
      <c r="C511" s="10"/>
      <c r="D511" s="10"/>
      <c r="E511" s="10"/>
      <c r="F511" s="168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 ht="16.5" customHeight="1">
      <c r="A512" s="10"/>
      <c r="B512" s="10"/>
      <c r="C512" s="10"/>
      <c r="D512" s="10"/>
      <c r="E512" s="10"/>
      <c r="F512" s="168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 ht="16.5" customHeight="1">
      <c r="A513" s="10"/>
      <c r="B513" s="10"/>
      <c r="C513" s="10"/>
      <c r="D513" s="10"/>
      <c r="E513" s="10"/>
      <c r="F513" s="168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 ht="16.5" customHeight="1">
      <c r="A514" s="10"/>
      <c r="B514" s="10"/>
      <c r="C514" s="10"/>
      <c r="D514" s="10"/>
      <c r="E514" s="10"/>
      <c r="F514" s="168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 ht="16.5" customHeight="1">
      <c r="A515" s="10"/>
      <c r="B515" s="10"/>
      <c r="C515" s="10"/>
      <c r="D515" s="10"/>
      <c r="E515" s="10"/>
      <c r="F515" s="168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 ht="16.5" customHeight="1">
      <c r="A516" s="10"/>
      <c r="B516" s="10"/>
      <c r="C516" s="10"/>
      <c r="D516" s="10"/>
      <c r="E516" s="10"/>
      <c r="F516" s="168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 ht="16.5" customHeight="1">
      <c r="A517" s="10"/>
      <c r="B517" s="10"/>
      <c r="C517" s="10"/>
      <c r="D517" s="10"/>
      <c r="E517" s="10"/>
      <c r="F517" s="168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 ht="16.5" customHeight="1">
      <c r="A518" s="10"/>
      <c r="B518" s="10"/>
      <c r="C518" s="10"/>
      <c r="D518" s="10"/>
      <c r="E518" s="10"/>
      <c r="F518" s="168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 ht="16.5" customHeight="1">
      <c r="A519" s="10"/>
      <c r="B519" s="10"/>
      <c r="C519" s="10"/>
      <c r="D519" s="10"/>
      <c r="E519" s="10"/>
      <c r="F519" s="168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 ht="16.5" customHeight="1">
      <c r="A520" s="10"/>
      <c r="B520" s="10"/>
      <c r="C520" s="10"/>
      <c r="D520" s="10"/>
      <c r="E520" s="10"/>
      <c r="F520" s="168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 ht="16.5" customHeight="1">
      <c r="A521" s="10"/>
      <c r="B521" s="10"/>
      <c r="C521" s="10"/>
      <c r="D521" s="10"/>
      <c r="E521" s="10"/>
      <c r="F521" s="168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 ht="16.5" customHeight="1">
      <c r="A522" s="10"/>
      <c r="B522" s="10"/>
      <c r="C522" s="10"/>
      <c r="D522" s="10"/>
      <c r="E522" s="10"/>
      <c r="F522" s="168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 ht="16.5" customHeight="1">
      <c r="A523" s="10"/>
      <c r="B523" s="10"/>
      <c r="C523" s="10"/>
      <c r="D523" s="10"/>
      <c r="E523" s="10"/>
      <c r="F523" s="168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 ht="16.5" customHeight="1">
      <c r="A524" s="10"/>
      <c r="B524" s="10"/>
      <c r="C524" s="10"/>
      <c r="D524" s="10"/>
      <c r="E524" s="10"/>
      <c r="F524" s="168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 ht="16.5" customHeight="1">
      <c r="A525" s="10"/>
      <c r="B525" s="10"/>
      <c r="C525" s="10"/>
      <c r="D525" s="10"/>
      <c r="E525" s="10"/>
      <c r="F525" s="168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 ht="16.5" customHeight="1">
      <c r="A526" s="10"/>
      <c r="B526" s="10"/>
      <c r="C526" s="10"/>
      <c r="D526" s="10"/>
      <c r="E526" s="10"/>
      <c r="F526" s="168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 ht="16.5" customHeight="1">
      <c r="A527" s="10"/>
      <c r="B527" s="10"/>
      <c r="C527" s="10"/>
      <c r="D527" s="10"/>
      <c r="E527" s="10"/>
      <c r="F527" s="168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 ht="16.5" customHeight="1">
      <c r="A528" s="10"/>
      <c r="B528" s="10"/>
      <c r="C528" s="10"/>
      <c r="D528" s="10"/>
      <c r="E528" s="10"/>
      <c r="F528" s="168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 ht="16.5" customHeight="1">
      <c r="A529" s="10"/>
      <c r="B529" s="10"/>
      <c r="C529" s="10"/>
      <c r="D529" s="10"/>
      <c r="E529" s="10"/>
      <c r="F529" s="168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 ht="16.5" customHeight="1">
      <c r="A530" s="10"/>
      <c r="B530" s="10"/>
      <c r="C530" s="10"/>
      <c r="D530" s="10"/>
      <c r="E530" s="10"/>
      <c r="F530" s="168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 ht="16.5" customHeight="1">
      <c r="A531" s="10"/>
      <c r="B531" s="10"/>
      <c r="C531" s="10"/>
      <c r="D531" s="10"/>
      <c r="E531" s="10"/>
      <c r="F531" s="168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 ht="16.5" customHeight="1">
      <c r="A532" s="10"/>
      <c r="B532" s="10"/>
      <c r="C532" s="10"/>
      <c r="D532" s="10"/>
      <c r="E532" s="10"/>
      <c r="F532" s="168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 ht="16.5" customHeight="1">
      <c r="A533" s="10"/>
      <c r="B533" s="10"/>
      <c r="C533" s="10"/>
      <c r="D533" s="10"/>
      <c r="E533" s="10"/>
      <c r="F533" s="168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 ht="16.5" customHeight="1">
      <c r="A534" s="10"/>
      <c r="B534" s="10"/>
      <c r="C534" s="10"/>
      <c r="D534" s="10"/>
      <c r="E534" s="10"/>
      <c r="F534" s="168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 ht="16.5" customHeight="1">
      <c r="A535" s="10"/>
      <c r="B535" s="10"/>
      <c r="C535" s="10"/>
      <c r="D535" s="10"/>
      <c r="E535" s="10"/>
      <c r="F535" s="168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 ht="16.5" customHeight="1">
      <c r="A536" s="10"/>
      <c r="B536" s="10"/>
      <c r="C536" s="10"/>
      <c r="D536" s="10"/>
      <c r="E536" s="10"/>
      <c r="F536" s="168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 ht="16.5" customHeight="1">
      <c r="A537" s="10"/>
      <c r="B537" s="10"/>
      <c r="C537" s="10"/>
      <c r="D537" s="10"/>
      <c r="E537" s="10"/>
      <c r="F537" s="168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 ht="16.5" customHeight="1">
      <c r="A538" s="10"/>
      <c r="B538" s="10"/>
      <c r="C538" s="10"/>
      <c r="D538" s="10"/>
      <c r="E538" s="10"/>
      <c r="F538" s="168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 ht="16.5" customHeight="1">
      <c r="A539" s="10"/>
      <c r="B539" s="10"/>
      <c r="C539" s="10"/>
      <c r="D539" s="10"/>
      <c r="E539" s="10"/>
      <c r="F539" s="168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 ht="16.5" customHeight="1">
      <c r="A540" s="10"/>
      <c r="B540" s="10"/>
      <c r="C540" s="10"/>
      <c r="D540" s="10"/>
      <c r="E540" s="10"/>
      <c r="F540" s="168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 ht="16.5" customHeight="1">
      <c r="A541" s="10"/>
      <c r="B541" s="10"/>
      <c r="C541" s="10"/>
      <c r="D541" s="10"/>
      <c r="E541" s="10"/>
      <c r="F541" s="168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 ht="16.5" customHeight="1">
      <c r="A542" s="10"/>
      <c r="B542" s="10"/>
      <c r="C542" s="10"/>
      <c r="D542" s="10"/>
      <c r="E542" s="10"/>
      <c r="F542" s="168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 ht="16.5" customHeight="1">
      <c r="A543" s="10"/>
      <c r="B543" s="10"/>
      <c r="C543" s="10"/>
      <c r="D543" s="10"/>
      <c r="E543" s="10"/>
      <c r="F543" s="168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 ht="16.5" customHeight="1">
      <c r="A544" s="10"/>
      <c r="B544" s="10"/>
      <c r="C544" s="10"/>
      <c r="D544" s="10"/>
      <c r="E544" s="10"/>
      <c r="F544" s="168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 ht="16.5" customHeight="1">
      <c r="A545" s="10"/>
      <c r="B545" s="10"/>
      <c r="C545" s="10"/>
      <c r="D545" s="10"/>
      <c r="E545" s="10"/>
      <c r="F545" s="168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 ht="16.5" customHeight="1">
      <c r="A546" s="10"/>
      <c r="B546" s="10"/>
      <c r="C546" s="10"/>
      <c r="D546" s="10"/>
      <c r="E546" s="10"/>
      <c r="F546" s="168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 ht="16.5" customHeight="1">
      <c r="A547" s="10"/>
      <c r="B547" s="10"/>
      <c r="C547" s="10"/>
      <c r="D547" s="10"/>
      <c r="E547" s="10"/>
      <c r="F547" s="168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 ht="16.5" customHeight="1">
      <c r="A548" s="10"/>
      <c r="B548" s="10"/>
      <c r="C548" s="10"/>
      <c r="D548" s="10"/>
      <c r="E548" s="10"/>
      <c r="F548" s="168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 ht="16.5" customHeight="1">
      <c r="A549" s="10"/>
      <c r="B549" s="10"/>
      <c r="C549" s="10"/>
      <c r="D549" s="10"/>
      <c r="E549" s="10"/>
      <c r="F549" s="168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 ht="16.5" customHeight="1">
      <c r="A550" s="10"/>
      <c r="B550" s="10"/>
      <c r="C550" s="10"/>
      <c r="D550" s="10"/>
      <c r="E550" s="10"/>
      <c r="F550" s="168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 ht="16.5" customHeight="1">
      <c r="A551" s="10"/>
      <c r="B551" s="10"/>
      <c r="C551" s="10"/>
      <c r="D551" s="10"/>
      <c r="E551" s="10"/>
      <c r="F551" s="168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 ht="16.5" customHeight="1">
      <c r="A552" s="10"/>
      <c r="B552" s="10"/>
      <c r="C552" s="10"/>
      <c r="D552" s="10"/>
      <c r="E552" s="10"/>
      <c r="F552" s="168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 ht="16.5" customHeight="1">
      <c r="A553" s="10"/>
      <c r="B553" s="10"/>
      <c r="C553" s="10"/>
      <c r="D553" s="10"/>
      <c r="E553" s="10"/>
      <c r="F553" s="168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 ht="16.5" customHeight="1">
      <c r="A554" s="10"/>
      <c r="B554" s="10"/>
      <c r="C554" s="10"/>
      <c r="D554" s="10"/>
      <c r="E554" s="10"/>
      <c r="F554" s="168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 ht="16.5" customHeight="1">
      <c r="A555" s="10"/>
      <c r="B555" s="10"/>
      <c r="C555" s="10"/>
      <c r="D555" s="10"/>
      <c r="E555" s="10"/>
      <c r="F555" s="168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 ht="16.5" customHeight="1">
      <c r="A556" s="10"/>
      <c r="B556" s="10"/>
      <c r="C556" s="10"/>
      <c r="D556" s="10"/>
      <c r="E556" s="10"/>
      <c r="F556" s="168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 ht="16.5" customHeight="1">
      <c r="A557" s="10"/>
      <c r="B557" s="10"/>
      <c r="C557" s="10"/>
      <c r="D557" s="10"/>
      <c r="E557" s="10"/>
      <c r="F557" s="168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 ht="16.5" customHeight="1">
      <c r="A558" s="10"/>
      <c r="B558" s="10"/>
      <c r="C558" s="10"/>
      <c r="D558" s="10"/>
      <c r="E558" s="10"/>
      <c r="F558" s="168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 ht="16.5" customHeight="1">
      <c r="A559" s="10"/>
      <c r="B559" s="10"/>
      <c r="C559" s="10"/>
      <c r="D559" s="10"/>
      <c r="E559" s="10"/>
      <c r="F559" s="168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 ht="16.5" customHeight="1">
      <c r="A560" s="10"/>
      <c r="B560" s="10"/>
      <c r="C560" s="10"/>
      <c r="D560" s="10"/>
      <c r="E560" s="10"/>
      <c r="F560" s="168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 ht="16.5" customHeight="1">
      <c r="A561" s="10"/>
      <c r="B561" s="10"/>
      <c r="C561" s="10"/>
      <c r="D561" s="10"/>
      <c r="E561" s="10"/>
      <c r="F561" s="168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 ht="16.5" customHeight="1">
      <c r="A562" s="10"/>
      <c r="B562" s="10"/>
      <c r="C562" s="10"/>
      <c r="D562" s="10"/>
      <c r="E562" s="10"/>
      <c r="F562" s="168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 ht="16.5" customHeight="1">
      <c r="A563" s="10"/>
      <c r="B563" s="10"/>
      <c r="C563" s="10"/>
      <c r="D563" s="10"/>
      <c r="E563" s="10"/>
      <c r="F563" s="168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 ht="16.5" customHeight="1">
      <c r="A564" s="10"/>
      <c r="B564" s="10"/>
      <c r="C564" s="10"/>
      <c r="D564" s="10"/>
      <c r="E564" s="10"/>
      <c r="F564" s="168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 ht="16.5" customHeight="1">
      <c r="A565" s="10"/>
      <c r="B565" s="10"/>
      <c r="C565" s="10"/>
      <c r="D565" s="10"/>
      <c r="E565" s="10"/>
      <c r="F565" s="168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 ht="16.5" customHeight="1">
      <c r="A566" s="10"/>
      <c r="B566" s="10"/>
      <c r="C566" s="10"/>
      <c r="D566" s="10"/>
      <c r="E566" s="10"/>
      <c r="F566" s="168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 ht="16.5" customHeight="1">
      <c r="A567" s="10"/>
      <c r="B567" s="10"/>
      <c r="C567" s="10"/>
      <c r="D567" s="10"/>
      <c r="E567" s="10"/>
      <c r="F567" s="168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 ht="16.5" customHeight="1">
      <c r="A568" s="10"/>
      <c r="B568" s="10"/>
      <c r="C568" s="10"/>
      <c r="D568" s="10"/>
      <c r="E568" s="10"/>
      <c r="F568" s="168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 ht="16.5" customHeight="1">
      <c r="A569" s="10"/>
      <c r="B569" s="10"/>
      <c r="C569" s="10"/>
      <c r="D569" s="10"/>
      <c r="E569" s="10"/>
      <c r="F569" s="168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 ht="16.5" customHeight="1">
      <c r="A570" s="10"/>
      <c r="B570" s="10"/>
      <c r="C570" s="10"/>
      <c r="D570" s="10"/>
      <c r="E570" s="10"/>
      <c r="F570" s="168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 ht="16.5" customHeight="1">
      <c r="A571" s="10"/>
      <c r="B571" s="10"/>
      <c r="C571" s="10"/>
      <c r="D571" s="10"/>
      <c r="E571" s="10"/>
      <c r="F571" s="168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 ht="16.5" customHeight="1">
      <c r="A572" s="10"/>
      <c r="B572" s="10"/>
      <c r="C572" s="10"/>
      <c r="D572" s="10"/>
      <c r="E572" s="10"/>
      <c r="F572" s="168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 ht="16.5" customHeight="1">
      <c r="A573" s="10"/>
      <c r="B573" s="10"/>
      <c r="C573" s="10"/>
      <c r="D573" s="10"/>
      <c r="E573" s="10"/>
      <c r="F573" s="168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 ht="16.5" customHeight="1">
      <c r="A574" s="10"/>
      <c r="B574" s="10"/>
      <c r="C574" s="10"/>
      <c r="D574" s="10"/>
      <c r="E574" s="10"/>
      <c r="F574" s="168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 ht="16.5" customHeight="1">
      <c r="A575" s="10"/>
      <c r="B575" s="10"/>
      <c r="C575" s="10"/>
      <c r="D575" s="10"/>
      <c r="E575" s="10"/>
      <c r="F575" s="168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 ht="16.5" customHeight="1">
      <c r="A576" s="10"/>
      <c r="B576" s="10"/>
      <c r="C576" s="10"/>
      <c r="D576" s="10"/>
      <c r="E576" s="10"/>
      <c r="F576" s="168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 ht="16.5" customHeight="1">
      <c r="A577" s="10"/>
      <c r="B577" s="10"/>
      <c r="C577" s="10"/>
      <c r="D577" s="10"/>
      <c r="E577" s="10"/>
      <c r="F577" s="168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 ht="16.5" customHeight="1">
      <c r="A578" s="10"/>
      <c r="B578" s="10"/>
      <c r="C578" s="10"/>
      <c r="D578" s="10"/>
      <c r="E578" s="10"/>
      <c r="F578" s="168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 ht="16.5" customHeight="1">
      <c r="A579" s="10"/>
      <c r="B579" s="10"/>
      <c r="C579" s="10"/>
      <c r="D579" s="10"/>
      <c r="E579" s="10"/>
      <c r="F579" s="16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 ht="16.5" customHeight="1">
      <c r="A580" s="10"/>
      <c r="B580" s="10"/>
      <c r="C580" s="10"/>
      <c r="D580" s="10"/>
      <c r="E580" s="10"/>
      <c r="F580" s="168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 ht="16.5" customHeight="1">
      <c r="A581" s="10"/>
      <c r="B581" s="10"/>
      <c r="C581" s="10"/>
      <c r="D581" s="10"/>
      <c r="E581" s="10"/>
      <c r="F581" s="16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 ht="16.5" customHeight="1">
      <c r="A582" s="10"/>
      <c r="B582" s="10"/>
      <c r="C582" s="10"/>
      <c r="D582" s="10"/>
      <c r="E582" s="10"/>
      <c r="F582" s="168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 ht="16.5" customHeight="1">
      <c r="A583" s="10"/>
      <c r="B583" s="10"/>
      <c r="C583" s="10"/>
      <c r="D583" s="10"/>
      <c r="E583" s="10"/>
      <c r="F583" s="168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 ht="16.5" customHeight="1">
      <c r="A584" s="10"/>
      <c r="B584" s="10"/>
      <c r="C584" s="10"/>
      <c r="D584" s="10"/>
      <c r="E584" s="10"/>
      <c r="F584" s="168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 ht="16.5" customHeight="1">
      <c r="A585" s="10"/>
      <c r="B585" s="10"/>
      <c r="C585" s="10"/>
      <c r="D585" s="10"/>
      <c r="E585" s="10"/>
      <c r="F585" s="168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 ht="16.5" customHeight="1">
      <c r="A586" s="10"/>
      <c r="B586" s="10"/>
      <c r="C586" s="10"/>
      <c r="D586" s="10"/>
      <c r="E586" s="10"/>
      <c r="F586" s="168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 ht="16.5" customHeight="1">
      <c r="A587" s="10"/>
      <c r="B587" s="10"/>
      <c r="C587" s="10"/>
      <c r="D587" s="10"/>
      <c r="E587" s="10"/>
      <c r="F587" s="168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 ht="16.5" customHeight="1">
      <c r="A588" s="10"/>
      <c r="B588" s="10"/>
      <c r="C588" s="10"/>
      <c r="D588" s="10"/>
      <c r="E588" s="10"/>
      <c r="F588" s="168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 ht="16.5" customHeight="1">
      <c r="A589" s="10"/>
      <c r="B589" s="10"/>
      <c r="C589" s="10"/>
      <c r="D589" s="10"/>
      <c r="E589" s="10"/>
      <c r="F589" s="168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 ht="16.5" customHeight="1">
      <c r="A590" s="10"/>
      <c r="B590" s="10"/>
      <c r="C590" s="10"/>
      <c r="D590" s="10"/>
      <c r="E590" s="10"/>
      <c r="F590" s="16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 ht="16.5" customHeight="1">
      <c r="A591" s="10"/>
      <c r="B591" s="10"/>
      <c r="C591" s="10"/>
      <c r="D591" s="10"/>
      <c r="E591" s="10"/>
      <c r="F591" s="168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 ht="16.5" customHeight="1">
      <c r="A592" s="10"/>
      <c r="B592" s="10"/>
      <c r="C592" s="10"/>
      <c r="D592" s="10"/>
      <c r="E592" s="10"/>
      <c r="F592" s="168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 ht="16.5" customHeight="1">
      <c r="A593" s="10"/>
      <c r="B593" s="10"/>
      <c r="C593" s="10"/>
      <c r="D593" s="10"/>
      <c r="E593" s="10"/>
      <c r="F593" s="168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 ht="16.5" customHeight="1">
      <c r="A594" s="10"/>
      <c r="B594" s="10"/>
      <c r="C594" s="10"/>
      <c r="D594" s="10"/>
      <c r="E594" s="10"/>
      <c r="F594" s="168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 ht="16.5" customHeight="1">
      <c r="A595" s="10"/>
      <c r="B595" s="10"/>
      <c r="C595" s="10"/>
      <c r="D595" s="10"/>
      <c r="E595" s="10"/>
      <c r="F595" s="16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 ht="16.5" customHeight="1">
      <c r="A596" s="10"/>
      <c r="B596" s="10"/>
      <c r="C596" s="10"/>
      <c r="D596" s="10"/>
      <c r="E596" s="10"/>
      <c r="F596" s="168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 ht="16.5" customHeight="1">
      <c r="A597" s="10"/>
      <c r="B597" s="10"/>
      <c r="C597" s="10"/>
      <c r="D597" s="10"/>
      <c r="E597" s="10"/>
      <c r="F597" s="168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 ht="16.5" customHeight="1">
      <c r="A598" s="10"/>
      <c r="B598" s="10"/>
      <c r="C598" s="10"/>
      <c r="D598" s="10"/>
      <c r="E598" s="10"/>
      <c r="F598" s="16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 ht="16.5" customHeight="1">
      <c r="A599" s="10"/>
      <c r="B599" s="10"/>
      <c r="C599" s="10"/>
      <c r="D599" s="10"/>
      <c r="E599" s="10"/>
      <c r="F599" s="16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 ht="16.5" customHeight="1">
      <c r="A600" s="10"/>
      <c r="B600" s="10"/>
      <c r="C600" s="10"/>
      <c r="D600" s="10"/>
      <c r="E600" s="10"/>
      <c r="F600" s="168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 ht="16.5" customHeight="1">
      <c r="A601" s="10"/>
      <c r="B601" s="10"/>
      <c r="C601" s="10"/>
      <c r="D601" s="10"/>
      <c r="E601" s="10"/>
      <c r="F601" s="168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 ht="16.5" customHeight="1">
      <c r="A602" s="10"/>
      <c r="B602" s="10"/>
      <c r="C602" s="10"/>
      <c r="D602" s="10"/>
      <c r="E602" s="10"/>
      <c r="F602" s="168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 ht="16.5" customHeight="1">
      <c r="A603" s="10"/>
      <c r="B603" s="10"/>
      <c r="C603" s="10"/>
      <c r="D603" s="10"/>
      <c r="E603" s="10"/>
      <c r="F603" s="168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 ht="16.5" customHeight="1">
      <c r="A604" s="10"/>
      <c r="B604" s="10"/>
      <c r="C604" s="10"/>
      <c r="D604" s="10"/>
      <c r="E604" s="10"/>
      <c r="F604" s="168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 ht="16.5" customHeight="1">
      <c r="A605" s="10"/>
      <c r="B605" s="10"/>
      <c r="C605" s="10"/>
      <c r="D605" s="10"/>
      <c r="E605" s="10"/>
      <c r="F605" s="168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 ht="16.5" customHeight="1">
      <c r="A606" s="10"/>
      <c r="B606" s="10"/>
      <c r="C606" s="10"/>
      <c r="D606" s="10"/>
      <c r="E606" s="10"/>
      <c r="F606" s="168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 ht="16.5" customHeight="1">
      <c r="A607" s="10"/>
      <c r="B607" s="10"/>
      <c r="C607" s="10"/>
      <c r="D607" s="10"/>
      <c r="E607" s="10"/>
      <c r="F607" s="168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 ht="16.5" customHeight="1">
      <c r="A608" s="10"/>
      <c r="B608" s="10"/>
      <c r="C608" s="10"/>
      <c r="D608" s="10"/>
      <c r="E608" s="10"/>
      <c r="F608" s="168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 ht="16.5" customHeight="1">
      <c r="A609" s="10"/>
      <c r="B609" s="10"/>
      <c r="C609" s="10"/>
      <c r="D609" s="10"/>
      <c r="E609" s="10"/>
      <c r="F609" s="168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 ht="16.5" customHeight="1">
      <c r="A610" s="10"/>
      <c r="B610" s="10"/>
      <c r="C610" s="10"/>
      <c r="D610" s="10"/>
      <c r="E610" s="10"/>
      <c r="F610" s="168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 ht="16.5" customHeight="1">
      <c r="A611" s="10"/>
      <c r="B611" s="10"/>
      <c r="C611" s="10"/>
      <c r="D611" s="10"/>
      <c r="E611" s="10"/>
      <c r="F611" s="168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 ht="16.5" customHeight="1">
      <c r="A612" s="10"/>
      <c r="B612" s="10"/>
      <c r="C612" s="10"/>
      <c r="D612" s="10"/>
      <c r="E612" s="10"/>
      <c r="F612" s="16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 ht="16.5" customHeight="1">
      <c r="A613" s="10"/>
      <c r="B613" s="10"/>
      <c r="C613" s="10"/>
      <c r="D613" s="10"/>
      <c r="E613" s="10"/>
      <c r="F613" s="168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 ht="16.5" customHeight="1">
      <c r="A614" s="10"/>
      <c r="B614" s="10"/>
      <c r="C614" s="10"/>
      <c r="D614" s="10"/>
      <c r="E614" s="10"/>
      <c r="F614" s="168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 ht="16.5" customHeight="1">
      <c r="A615" s="10"/>
      <c r="B615" s="10"/>
      <c r="C615" s="10"/>
      <c r="D615" s="10"/>
      <c r="E615" s="10"/>
      <c r="F615" s="168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 ht="16.5" customHeight="1">
      <c r="A616" s="10"/>
      <c r="B616" s="10"/>
      <c r="C616" s="10"/>
      <c r="D616" s="10"/>
      <c r="E616" s="10"/>
      <c r="F616" s="168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 ht="16.5" customHeight="1">
      <c r="A617" s="10"/>
      <c r="B617" s="10"/>
      <c r="C617" s="10"/>
      <c r="D617" s="10"/>
      <c r="E617" s="10"/>
      <c r="F617" s="16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 ht="16.5" customHeight="1">
      <c r="A618" s="10"/>
      <c r="B618" s="10"/>
      <c r="C618" s="10"/>
      <c r="D618" s="10"/>
      <c r="E618" s="10"/>
      <c r="F618" s="168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 ht="16.5" customHeight="1">
      <c r="A619" s="10"/>
      <c r="B619" s="10"/>
      <c r="C619" s="10"/>
      <c r="D619" s="10"/>
      <c r="E619" s="10"/>
      <c r="F619" s="16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 ht="16.5" customHeight="1">
      <c r="A620" s="10"/>
      <c r="B620" s="10"/>
      <c r="C620" s="10"/>
      <c r="D620" s="10"/>
      <c r="E620" s="10"/>
      <c r="F620" s="168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 ht="16.5" customHeight="1">
      <c r="A621" s="10"/>
      <c r="B621" s="10"/>
      <c r="C621" s="10"/>
      <c r="D621" s="10"/>
      <c r="E621" s="10"/>
      <c r="F621" s="16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 ht="16.5" customHeight="1">
      <c r="A622" s="10"/>
      <c r="B622" s="10"/>
      <c r="C622" s="10"/>
      <c r="D622" s="10"/>
      <c r="E622" s="10"/>
      <c r="F622" s="16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 ht="16.5" customHeight="1">
      <c r="A623" s="10"/>
      <c r="B623" s="10"/>
      <c r="C623" s="10"/>
      <c r="D623" s="10"/>
      <c r="E623" s="10"/>
      <c r="F623" s="168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 ht="16.5" customHeight="1">
      <c r="A624" s="10"/>
      <c r="B624" s="10"/>
      <c r="C624" s="10"/>
      <c r="D624" s="10"/>
      <c r="E624" s="10"/>
      <c r="F624" s="16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 ht="16.5" customHeight="1">
      <c r="A625" s="10"/>
      <c r="B625" s="10"/>
      <c r="C625" s="10"/>
      <c r="D625" s="10"/>
      <c r="E625" s="10"/>
      <c r="F625" s="168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 ht="16.5" customHeight="1">
      <c r="A626" s="10"/>
      <c r="B626" s="10"/>
      <c r="C626" s="10"/>
      <c r="D626" s="10"/>
      <c r="E626" s="10"/>
      <c r="F626" s="168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 ht="16.5" customHeight="1">
      <c r="A627" s="10"/>
      <c r="B627" s="10"/>
      <c r="C627" s="10"/>
      <c r="D627" s="10"/>
      <c r="E627" s="10"/>
      <c r="F627" s="16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 ht="16.5" customHeight="1">
      <c r="A628" s="10"/>
      <c r="B628" s="10"/>
      <c r="C628" s="10"/>
      <c r="D628" s="10"/>
      <c r="E628" s="10"/>
      <c r="F628" s="168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 ht="16.5" customHeight="1">
      <c r="A629" s="10"/>
      <c r="B629" s="10"/>
      <c r="C629" s="10"/>
      <c r="D629" s="10"/>
      <c r="E629" s="10"/>
      <c r="F629" s="168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 ht="16.5" customHeight="1">
      <c r="A630" s="10"/>
      <c r="B630" s="10"/>
      <c r="C630" s="10"/>
      <c r="D630" s="10"/>
      <c r="E630" s="10"/>
      <c r="F630" s="168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 ht="16.5" customHeight="1">
      <c r="A631" s="10"/>
      <c r="B631" s="10"/>
      <c r="C631" s="10"/>
      <c r="D631" s="10"/>
      <c r="E631" s="10"/>
      <c r="F631" s="168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 ht="16.5" customHeight="1">
      <c r="A632" s="10"/>
      <c r="B632" s="10"/>
      <c r="C632" s="10"/>
      <c r="D632" s="10"/>
      <c r="E632" s="10"/>
      <c r="F632" s="168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 ht="16.5" customHeight="1">
      <c r="A633" s="10"/>
      <c r="B633" s="10"/>
      <c r="C633" s="10"/>
      <c r="D633" s="10"/>
      <c r="E633" s="10"/>
      <c r="F633" s="168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 ht="16.5" customHeight="1">
      <c r="A634" s="10"/>
      <c r="B634" s="10"/>
      <c r="C634" s="10"/>
      <c r="D634" s="10"/>
      <c r="E634" s="10"/>
      <c r="F634" s="168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 ht="16.5" customHeight="1">
      <c r="A635" s="10"/>
      <c r="B635" s="10"/>
      <c r="C635" s="10"/>
      <c r="D635" s="10"/>
      <c r="E635" s="10"/>
      <c r="F635" s="168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 ht="16.5" customHeight="1">
      <c r="A636" s="10"/>
      <c r="B636" s="10"/>
      <c r="C636" s="10"/>
      <c r="D636" s="10"/>
      <c r="E636" s="10"/>
      <c r="F636" s="168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 ht="16.5" customHeight="1">
      <c r="A637" s="10"/>
      <c r="B637" s="10"/>
      <c r="C637" s="10"/>
      <c r="D637" s="10"/>
      <c r="E637" s="10"/>
      <c r="F637" s="168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 ht="16.5" customHeight="1">
      <c r="A638" s="10"/>
      <c r="B638" s="10"/>
      <c r="C638" s="10"/>
      <c r="D638" s="10"/>
      <c r="E638" s="10"/>
      <c r="F638" s="168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 ht="16.5" customHeight="1">
      <c r="A639" s="10"/>
      <c r="B639" s="10"/>
      <c r="C639" s="10"/>
      <c r="D639" s="10"/>
      <c r="E639" s="10"/>
      <c r="F639" s="168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 ht="16.5" customHeight="1">
      <c r="A640" s="10"/>
      <c r="B640" s="10"/>
      <c r="C640" s="10"/>
      <c r="D640" s="10"/>
      <c r="E640" s="10"/>
      <c r="F640" s="168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 ht="16.5" customHeight="1">
      <c r="A641" s="10"/>
      <c r="B641" s="10"/>
      <c r="C641" s="10"/>
      <c r="D641" s="10"/>
      <c r="E641" s="10"/>
      <c r="F641" s="168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 ht="16.5" customHeight="1">
      <c r="A642" s="10"/>
      <c r="B642" s="10"/>
      <c r="C642" s="10"/>
      <c r="D642" s="10"/>
      <c r="E642" s="10"/>
      <c r="F642" s="168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 ht="16.5" customHeight="1">
      <c r="A643" s="10"/>
      <c r="B643" s="10"/>
      <c r="C643" s="10"/>
      <c r="D643" s="10"/>
      <c r="E643" s="10"/>
      <c r="F643" s="16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 ht="16.5" customHeight="1">
      <c r="A644" s="10"/>
      <c r="B644" s="10"/>
      <c r="C644" s="10"/>
      <c r="D644" s="10"/>
      <c r="E644" s="10"/>
      <c r="F644" s="168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 ht="16.5" customHeight="1">
      <c r="A645" s="10"/>
      <c r="B645" s="10"/>
      <c r="C645" s="10"/>
      <c r="D645" s="10"/>
      <c r="E645" s="10"/>
      <c r="F645" s="168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 ht="16.5" customHeight="1">
      <c r="A646" s="10"/>
      <c r="B646" s="10"/>
      <c r="C646" s="10"/>
      <c r="D646" s="10"/>
      <c r="E646" s="10"/>
      <c r="F646" s="168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 ht="16.5" customHeight="1">
      <c r="A647" s="10"/>
      <c r="B647" s="10"/>
      <c r="C647" s="10"/>
      <c r="D647" s="10"/>
      <c r="E647" s="10"/>
      <c r="F647" s="168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 ht="16.5" customHeight="1">
      <c r="A648" s="10"/>
      <c r="B648" s="10"/>
      <c r="C648" s="10"/>
      <c r="D648" s="10"/>
      <c r="E648" s="10"/>
      <c r="F648" s="168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 ht="16.5" customHeight="1">
      <c r="A649" s="10"/>
      <c r="B649" s="10"/>
      <c r="C649" s="10"/>
      <c r="D649" s="10"/>
      <c r="E649" s="10"/>
      <c r="F649" s="16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 ht="16.5" customHeight="1">
      <c r="A650" s="10"/>
      <c r="B650" s="10"/>
      <c r="C650" s="10"/>
      <c r="D650" s="10"/>
      <c r="E650" s="10"/>
      <c r="F650" s="168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 ht="16.5" customHeight="1">
      <c r="A651" s="10"/>
      <c r="B651" s="10"/>
      <c r="C651" s="10"/>
      <c r="D651" s="10"/>
      <c r="E651" s="10"/>
      <c r="F651" s="168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 ht="16.5" customHeight="1">
      <c r="A652" s="10"/>
      <c r="B652" s="10"/>
      <c r="C652" s="10"/>
      <c r="D652" s="10"/>
      <c r="E652" s="10"/>
      <c r="F652" s="168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 ht="16.5" customHeight="1">
      <c r="A653" s="10"/>
      <c r="B653" s="10"/>
      <c r="C653" s="10"/>
      <c r="D653" s="10"/>
      <c r="E653" s="10"/>
      <c r="F653" s="16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 ht="16.5" customHeight="1">
      <c r="A654" s="10"/>
      <c r="B654" s="10"/>
      <c r="C654" s="10"/>
      <c r="D654" s="10"/>
      <c r="E654" s="10"/>
      <c r="F654" s="168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 ht="16.5" customHeight="1">
      <c r="A655" s="10"/>
      <c r="B655" s="10"/>
      <c r="C655" s="10"/>
      <c r="D655" s="10"/>
      <c r="E655" s="10"/>
      <c r="F655" s="168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 ht="16.5" customHeight="1">
      <c r="A656" s="10"/>
      <c r="B656" s="10"/>
      <c r="C656" s="10"/>
      <c r="D656" s="10"/>
      <c r="E656" s="10"/>
      <c r="F656" s="168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 ht="16.5" customHeight="1">
      <c r="A657" s="10"/>
      <c r="B657" s="10"/>
      <c r="C657" s="10"/>
      <c r="D657" s="10"/>
      <c r="E657" s="10"/>
      <c r="F657" s="168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 ht="16.5" customHeight="1">
      <c r="A658" s="10"/>
      <c r="B658" s="10"/>
      <c r="C658" s="10"/>
      <c r="D658" s="10"/>
      <c r="E658" s="10"/>
      <c r="F658" s="168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 ht="16.5" customHeight="1">
      <c r="A659" s="10"/>
      <c r="B659" s="10"/>
      <c r="C659" s="10"/>
      <c r="D659" s="10"/>
      <c r="E659" s="10"/>
      <c r="F659" s="168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 ht="16.5" customHeight="1">
      <c r="A660" s="10"/>
      <c r="B660" s="10"/>
      <c r="C660" s="10"/>
      <c r="D660" s="10"/>
      <c r="E660" s="10"/>
      <c r="F660" s="168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 ht="16.5" customHeight="1">
      <c r="A661" s="10"/>
      <c r="B661" s="10"/>
      <c r="C661" s="10"/>
      <c r="D661" s="10"/>
      <c r="E661" s="10"/>
      <c r="F661" s="168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 ht="16.5" customHeight="1">
      <c r="A662" s="10"/>
      <c r="B662" s="10"/>
      <c r="C662" s="10"/>
      <c r="D662" s="10"/>
      <c r="E662" s="10"/>
      <c r="F662" s="168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 ht="16.5" customHeight="1">
      <c r="A663" s="10"/>
      <c r="B663" s="10"/>
      <c r="C663" s="10"/>
      <c r="D663" s="10"/>
      <c r="E663" s="10"/>
      <c r="F663" s="168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 ht="16.5" customHeight="1">
      <c r="A664" s="10"/>
      <c r="B664" s="10"/>
      <c r="C664" s="10"/>
      <c r="D664" s="10"/>
      <c r="E664" s="10"/>
      <c r="F664" s="168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 ht="16.5" customHeight="1">
      <c r="A665" s="10"/>
      <c r="B665" s="10"/>
      <c r="C665" s="10"/>
      <c r="D665" s="10"/>
      <c r="E665" s="10"/>
      <c r="F665" s="168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 ht="16.5" customHeight="1">
      <c r="A666" s="10"/>
      <c r="B666" s="10"/>
      <c r="C666" s="10"/>
      <c r="D666" s="10"/>
      <c r="E666" s="10"/>
      <c r="F666" s="168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 ht="16.5" customHeight="1">
      <c r="A667" s="10"/>
      <c r="B667" s="10"/>
      <c r="C667" s="10"/>
      <c r="D667" s="10"/>
      <c r="E667" s="10"/>
      <c r="F667" s="168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 ht="16.5" customHeight="1">
      <c r="A668" s="10"/>
      <c r="B668" s="10"/>
      <c r="C668" s="10"/>
      <c r="D668" s="10"/>
      <c r="E668" s="10"/>
      <c r="F668" s="168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 ht="16.5" customHeight="1">
      <c r="A669" s="10"/>
      <c r="B669" s="10"/>
      <c r="C669" s="10"/>
      <c r="D669" s="10"/>
      <c r="E669" s="10"/>
      <c r="F669" s="168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 ht="16.5" customHeight="1">
      <c r="A670" s="10"/>
      <c r="B670" s="10"/>
      <c r="C670" s="10"/>
      <c r="D670" s="10"/>
      <c r="E670" s="10"/>
      <c r="F670" s="168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 ht="16.5" customHeight="1">
      <c r="A671" s="10"/>
      <c r="B671" s="10"/>
      <c r="C671" s="10"/>
      <c r="D671" s="10"/>
      <c r="E671" s="10"/>
      <c r="F671" s="168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 ht="16.5" customHeight="1">
      <c r="A672" s="10"/>
      <c r="B672" s="10"/>
      <c r="C672" s="10"/>
      <c r="D672" s="10"/>
      <c r="E672" s="10"/>
      <c r="F672" s="168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 ht="16.5" customHeight="1">
      <c r="A673" s="10"/>
      <c r="B673" s="10"/>
      <c r="C673" s="10"/>
      <c r="D673" s="10"/>
      <c r="E673" s="10"/>
      <c r="F673" s="168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 ht="16.5" customHeight="1">
      <c r="A674" s="10"/>
      <c r="B674" s="10"/>
      <c r="C674" s="10"/>
      <c r="D674" s="10"/>
      <c r="E674" s="10"/>
      <c r="F674" s="168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 ht="16.5" customHeight="1">
      <c r="A675" s="10"/>
      <c r="B675" s="10"/>
      <c r="C675" s="10"/>
      <c r="D675" s="10"/>
      <c r="E675" s="10"/>
      <c r="F675" s="168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 ht="16.5" customHeight="1">
      <c r="A676" s="10"/>
      <c r="B676" s="10"/>
      <c r="C676" s="10"/>
      <c r="D676" s="10"/>
      <c r="E676" s="10"/>
      <c r="F676" s="168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 ht="16.5" customHeight="1">
      <c r="A677" s="10"/>
      <c r="B677" s="10"/>
      <c r="C677" s="10"/>
      <c r="D677" s="10"/>
      <c r="E677" s="10"/>
      <c r="F677" s="168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 ht="16.5" customHeight="1">
      <c r="A678" s="10"/>
      <c r="B678" s="10"/>
      <c r="C678" s="10"/>
      <c r="D678" s="10"/>
      <c r="E678" s="10"/>
      <c r="F678" s="168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 ht="16.5" customHeight="1">
      <c r="A679" s="10"/>
      <c r="B679" s="10"/>
      <c r="C679" s="10"/>
      <c r="D679" s="10"/>
      <c r="E679" s="10"/>
      <c r="F679" s="16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 ht="16.5" customHeight="1">
      <c r="A680" s="10"/>
      <c r="B680" s="10"/>
      <c r="C680" s="10"/>
      <c r="D680" s="10"/>
      <c r="E680" s="10"/>
      <c r="F680" s="168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 ht="16.5" customHeight="1">
      <c r="A681" s="10"/>
      <c r="B681" s="10"/>
      <c r="C681" s="10"/>
      <c r="D681" s="10"/>
      <c r="E681" s="10"/>
      <c r="F681" s="168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 ht="16.5" customHeight="1">
      <c r="A682" s="10"/>
      <c r="B682" s="10"/>
      <c r="C682" s="10"/>
      <c r="D682" s="10"/>
      <c r="E682" s="10"/>
      <c r="F682" s="168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 ht="16.5" customHeight="1">
      <c r="A683" s="10"/>
      <c r="B683" s="10"/>
      <c r="C683" s="10"/>
      <c r="D683" s="10"/>
      <c r="E683" s="10"/>
      <c r="F683" s="168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 ht="16.5" customHeight="1">
      <c r="A684" s="10"/>
      <c r="B684" s="10"/>
      <c r="C684" s="10"/>
      <c r="D684" s="10"/>
      <c r="E684" s="10"/>
      <c r="F684" s="168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 ht="16.5" customHeight="1">
      <c r="A685" s="10"/>
      <c r="B685" s="10"/>
      <c r="C685" s="10"/>
      <c r="D685" s="10"/>
      <c r="E685" s="10"/>
      <c r="F685" s="168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 ht="16.5" customHeight="1">
      <c r="A686" s="10"/>
      <c r="B686" s="10"/>
      <c r="C686" s="10"/>
      <c r="D686" s="10"/>
      <c r="E686" s="10"/>
      <c r="F686" s="16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 ht="16.5" customHeight="1">
      <c r="A687" s="10"/>
      <c r="B687" s="10"/>
      <c r="C687" s="10"/>
      <c r="D687" s="10"/>
      <c r="E687" s="10"/>
      <c r="F687" s="168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 ht="16.5" customHeight="1">
      <c r="A688" s="10"/>
      <c r="B688" s="10"/>
      <c r="C688" s="10"/>
      <c r="D688" s="10"/>
      <c r="E688" s="10"/>
      <c r="F688" s="168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 ht="16.5" customHeight="1">
      <c r="A689" s="10"/>
      <c r="B689" s="10"/>
      <c r="C689" s="10"/>
      <c r="D689" s="10"/>
      <c r="E689" s="10"/>
      <c r="F689" s="168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 ht="16.5" customHeight="1">
      <c r="A690" s="10"/>
      <c r="B690" s="10"/>
      <c r="C690" s="10"/>
      <c r="D690" s="10"/>
      <c r="E690" s="10"/>
      <c r="F690" s="168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 ht="16.5" customHeight="1">
      <c r="A691" s="10"/>
      <c r="B691" s="10"/>
      <c r="C691" s="10"/>
      <c r="D691" s="10"/>
      <c r="E691" s="10"/>
      <c r="F691" s="168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 ht="16.5" customHeight="1">
      <c r="A692" s="10"/>
      <c r="B692" s="10"/>
      <c r="C692" s="10"/>
      <c r="D692" s="10"/>
      <c r="E692" s="10"/>
      <c r="F692" s="168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 ht="16.5" customHeight="1">
      <c r="A693" s="10"/>
      <c r="B693" s="10"/>
      <c r="C693" s="10"/>
      <c r="D693" s="10"/>
      <c r="E693" s="10"/>
      <c r="F693" s="168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 ht="16.5" customHeight="1">
      <c r="A694" s="10"/>
      <c r="B694" s="10"/>
      <c r="C694" s="10"/>
      <c r="D694" s="10"/>
      <c r="E694" s="10"/>
      <c r="F694" s="168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 ht="16.5" customHeight="1">
      <c r="A695" s="10"/>
      <c r="B695" s="10"/>
      <c r="C695" s="10"/>
      <c r="D695" s="10"/>
      <c r="E695" s="10"/>
      <c r="F695" s="168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 ht="16.5" customHeight="1">
      <c r="A696" s="10"/>
      <c r="B696" s="10"/>
      <c r="C696" s="10"/>
      <c r="D696" s="10"/>
      <c r="E696" s="10"/>
      <c r="F696" s="168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 ht="16.5" customHeight="1">
      <c r="A697" s="10"/>
      <c r="B697" s="10"/>
      <c r="C697" s="10"/>
      <c r="D697" s="10"/>
      <c r="E697" s="10"/>
      <c r="F697" s="168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 ht="16.5" customHeight="1">
      <c r="A698" s="10"/>
      <c r="B698" s="10"/>
      <c r="C698" s="10"/>
      <c r="D698" s="10"/>
      <c r="E698" s="10"/>
      <c r="F698" s="168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 ht="16.5" customHeight="1">
      <c r="A699" s="10"/>
      <c r="B699" s="10"/>
      <c r="C699" s="10"/>
      <c r="D699" s="10"/>
      <c r="E699" s="10"/>
      <c r="F699" s="168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 ht="16.5" customHeight="1">
      <c r="A700" s="10"/>
      <c r="B700" s="10"/>
      <c r="C700" s="10"/>
      <c r="D700" s="10"/>
      <c r="E700" s="10"/>
      <c r="F700" s="168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 ht="16.5" customHeight="1">
      <c r="A701" s="10"/>
      <c r="B701" s="10"/>
      <c r="C701" s="10"/>
      <c r="D701" s="10"/>
      <c r="E701" s="10"/>
      <c r="F701" s="168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 ht="16.5" customHeight="1">
      <c r="A702" s="10"/>
      <c r="B702" s="10"/>
      <c r="C702" s="10"/>
      <c r="D702" s="10"/>
      <c r="E702" s="10"/>
      <c r="F702" s="168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 ht="16.5" customHeight="1">
      <c r="A703" s="10"/>
      <c r="B703" s="10"/>
      <c r="C703" s="10"/>
      <c r="D703" s="10"/>
      <c r="E703" s="10"/>
      <c r="F703" s="168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 ht="16.5" customHeight="1">
      <c r="A704" s="10"/>
      <c r="B704" s="10"/>
      <c r="C704" s="10"/>
      <c r="D704" s="10"/>
      <c r="E704" s="10"/>
      <c r="F704" s="168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 ht="16.5" customHeight="1">
      <c r="A705" s="10"/>
      <c r="B705" s="10"/>
      <c r="C705" s="10"/>
      <c r="D705" s="10"/>
      <c r="E705" s="10"/>
      <c r="F705" s="168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 ht="16.5" customHeight="1">
      <c r="A706" s="10"/>
      <c r="B706" s="10"/>
      <c r="C706" s="10"/>
      <c r="D706" s="10"/>
      <c r="E706" s="10"/>
      <c r="F706" s="168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 ht="16.5" customHeight="1">
      <c r="A707" s="10"/>
      <c r="B707" s="10"/>
      <c r="C707" s="10"/>
      <c r="D707" s="10"/>
      <c r="E707" s="10"/>
      <c r="F707" s="168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 ht="16.5" customHeight="1">
      <c r="A708" s="10"/>
      <c r="B708" s="10"/>
      <c r="C708" s="10"/>
      <c r="D708" s="10"/>
      <c r="E708" s="10"/>
      <c r="F708" s="168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 ht="16.5" customHeight="1">
      <c r="A709" s="10"/>
      <c r="B709" s="10"/>
      <c r="C709" s="10"/>
      <c r="D709" s="10"/>
      <c r="E709" s="10"/>
      <c r="F709" s="16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 ht="16.5" customHeight="1">
      <c r="A710" s="10"/>
      <c r="B710" s="10"/>
      <c r="C710" s="10"/>
      <c r="D710" s="10"/>
      <c r="E710" s="10"/>
      <c r="F710" s="168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 ht="16.5" customHeight="1">
      <c r="A711" s="10"/>
      <c r="B711" s="10"/>
      <c r="C711" s="10"/>
      <c r="D711" s="10"/>
      <c r="E711" s="10"/>
      <c r="F711" s="16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 ht="16.5" customHeight="1">
      <c r="A712" s="10"/>
      <c r="B712" s="10"/>
      <c r="C712" s="10"/>
      <c r="D712" s="10"/>
      <c r="E712" s="10"/>
      <c r="F712" s="16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 ht="16.5" customHeight="1">
      <c r="A713" s="10"/>
      <c r="B713" s="10"/>
      <c r="C713" s="10"/>
      <c r="D713" s="10"/>
      <c r="E713" s="10"/>
      <c r="F713" s="168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 ht="16.5" customHeight="1">
      <c r="A714" s="10"/>
      <c r="B714" s="10"/>
      <c r="C714" s="10"/>
      <c r="D714" s="10"/>
      <c r="E714" s="10"/>
      <c r="F714" s="168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 ht="16.5" customHeight="1">
      <c r="A715" s="10"/>
      <c r="B715" s="10"/>
      <c r="C715" s="10"/>
      <c r="D715" s="10"/>
      <c r="E715" s="10"/>
      <c r="F715" s="168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 ht="16.5" customHeight="1">
      <c r="A716" s="10"/>
      <c r="B716" s="10"/>
      <c r="C716" s="10"/>
      <c r="D716" s="10"/>
      <c r="E716" s="10"/>
      <c r="F716" s="168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 ht="16.5" customHeight="1">
      <c r="A717" s="10"/>
      <c r="B717" s="10"/>
      <c r="C717" s="10"/>
      <c r="D717" s="10"/>
      <c r="E717" s="10"/>
      <c r="F717" s="168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 ht="16.5" customHeight="1">
      <c r="A718" s="10"/>
      <c r="B718" s="10"/>
      <c r="C718" s="10"/>
      <c r="D718" s="10"/>
      <c r="E718" s="10"/>
      <c r="F718" s="168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 ht="16.5" customHeight="1">
      <c r="A719" s="10"/>
      <c r="B719" s="10"/>
      <c r="C719" s="10"/>
      <c r="D719" s="10"/>
      <c r="E719" s="10"/>
      <c r="F719" s="168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 ht="16.5" customHeight="1">
      <c r="A720" s="10"/>
      <c r="B720" s="10"/>
      <c r="C720" s="10"/>
      <c r="D720" s="10"/>
      <c r="E720" s="10"/>
      <c r="F720" s="168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 ht="16.5" customHeight="1">
      <c r="A721" s="10"/>
      <c r="B721" s="10"/>
      <c r="C721" s="10"/>
      <c r="D721" s="10"/>
      <c r="E721" s="10"/>
      <c r="F721" s="168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 ht="16.5" customHeight="1">
      <c r="A722" s="10"/>
      <c r="B722" s="10"/>
      <c r="C722" s="10"/>
      <c r="D722" s="10"/>
      <c r="E722" s="10"/>
      <c r="F722" s="168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 ht="16.5" customHeight="1">
      <c r="A723" s="10"/>
      <c r="B723" s="10"/>
      <c r="C723" s="10"/>
      <c r="D723" s="10"/>
      <c r="E723" s="10"/>
      <c r="F723" s="168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 ht="16.5" customHeight="1">
      <c r="A724" s="10"/>
      <c r="B724" s="10"/>
      <c r="C724" s="10"/>
      <c r="D724" s="10"/>
      <c r="E724" s="10"/>
      <c r="F724" s="168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 ht="16.5" customHeight="1">
      <c r="A725" s="10"/>
      <c r="B725" s="10"/>
      <c r="C725" s="10"/>
      <c r="D725" s="10"/>
      <c r="E725" s="10"/>
      <c r="F725" s="168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 ht="16.5" customHeight="1">
      <c r="A726" s="10"/>
      <c r="B726" s="10"/>
      <c r="C726" s="10"/>
      <c r="D726" s="10"/>
      <c r="E726" s="10"/>
      <c r="F726" s="168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 ht="16.5" customHeight="1">
      <c r="A727" s="10"/>
      <c r="B727" s="10"/>
      <c r="C727" s="10"/>
      <c r="D727" s="10"/>
      <c r="E727" s="10"/>
      <c r="F727" s="168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 ht="16.5" customHeight="1">
      <c r="A728" s="10"/>
      <c r="B728" s="10"/>
      <c r="C728" s="10"/>
      <c r="D728" s="10"/>
      <c r="E728" s="10"/>
      <c r="F728" s="168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 ht="16.5" customHeight="1">
      <c r="A729" s="10"/>
      <c r="B729" s="10"/>
      <c r="C729" s="10"/>
      <c r="D729" s="10"/>
      <c r="E729" s="10"/>
      <c r="F729" s="168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 ht="16.5" customHeight="1">
      <c r="A730" s="10"/>
      <c r="B730" s="10"/>
      <c r="C730" s="10"/>
      <c r="D730" s="10"/>
      <c r="E730" s="10"/>
      <c r="F730" s="168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 ht="16.5" customHeight="1">
      <c r="A731" s="10"/>
      <c r="B731" s="10"/>
      <c r="C731" s="10"/>
      <c r="D731" s="10"/>
      <c r="E731" s="10"/>
      <c r="F731" s="16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 ht="16.5" customHeight="1">
      <c r="A732" s="10"/>
      <c r="B732" s="10"/>
      <c r="C732" s="10"/>
      <c r="D732" s="10"/>
      <c r="E732" s="10"/>
      <c r="F732" s="168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 ht="16.5" customHeight="1">
      <c r="A733" s="10"/>
      <c r="B733" s="10"/>
      <c r="C733" s="10"/>
      <c r="D733" s="10"/>
      <c r="E733" s="10"/>
      <c r="F733" s="168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 ht="16.5" customHeight="1">
      <c r="A734" s="10"/>
      <c r="B734" s="10"/>
      <c r="C734" s="10"/>
      <c r="D734" s="10"/>
      <c r="E734" s="10"/>
      <c r="F734" s="168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 ht="16.5" customHeight="1">
      <c r="A735" s="10"/>
      <c r="B735" s="10"/>
      <c r="C735" s="10"/>
      <c r="D735" s="10"/>
      <c r="E735" s="10"/>
      <c r="F735" s="168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 ht="16.5" customHeight="1">
      <c r="A736" s="10"/>
      <c r="B736" s="10"/>
      <c r="C736" s="10"/>
      <c r="D736" s="10"/>
      <c r="E736" s="10"/>
      <c r="F736" s="168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 ht="16.5" customHeight="1">
      <c r="A737" s="10"/>
      <c r="B737" s="10"/>
      <c r="C737" s="10"/>
      <c r="D737" s="10"/>
      <c r="E737" s="10"/>
      <c r="F737" s="168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 ht="16.5" customHeight="1">
      <c r="A738" s="10"/>
      <c r="B738" s="10"/>
      <c r="C738" s="10"/>
      <c r="D738" s="10"/>
      <c r="E738" s="10"/>
      <c r="F738" s="168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 ht="16.5" customHeight="1">
      <c r="A739" s="10"/>
      <c r="B739" s="10"/>
      <c r="C739" s="10"/>
      <c r="D739" s="10"/>
      <c r="E739" s="10"/>
      <c r="F739" s="168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 ht="16.5" customHeight="1">
      <c r="A740" s="10"/>
      <c r="B740" s="10"/>
      <c r="C740" s="10"/>
      <c r="D740" s="10"/>
      <c r="E740" s="10"/>
      <c r="F740" s="168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 ht="16.5" customHeight="1">
      <c r="A741" s="10"/>
      <c r="B741" s="10"/>
      <c r="C741" s="10"/>
      <c r="D741" s="10"/>
      <c r="E741" s="10"/>
      <c r="F741" s="16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 ht="16.5" customHeight="1">
      <c r="A742" s="10"/>
      <c r="B742" s="10"/>
      <c r="C742" s="10"/>
      <c r="D742" s="10"/>
      <c r="E742" s="10"/>
      <c r="F742" s="168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 ht="16.5" customHeight="1">
      <c r="A743" s="10"/>
      <c r="B743" s="10"/>
      <c r="C743" s="10"/>
      <c r="D743" s="10"/>
      <c r="E743" s="10"/>
      <c r="F743" s="168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 ht="16.5" customHeight="1">
      <c r="A744" s="10"/>
      <c r="B744" s="10"/>
      <c r="C744" s="10"/>
      <c r="D744" s="10"/>
      <c r="E744" s="10"/>
      <c r="F744" s="168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 ht="16.5" customHeight="1">
      <c r="A745" s="10"/>
      <c r="B745" s="10"/>
      <c r="C745" s="10"/>
      <c r="D745" s="10"/>
      <c r="E745" s="10"/>
      <c r="F745" s="16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 ht="16.5" customHeight="1">
      <c r="A746" s="10"/>
      <c r="B746" s="10"/>
      <c r="C746" s="10"/>
      <c r="D746" s="10"/>
      <c r="E746" s="10"/>
      <c r="F746" s="16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 ht="16.5" customHeight="1">
      <c r="A747" s="10"/>
      <c r="B747" s="10"/>
      <c r="C747" s="10"/>
      <c r="D747" s="10"/>
      <c r="E747" s="10"/>
      <c r="F747" s="168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 ht="16.5" customHeight="1">
      <c r="A748" s="10"/>
      <c r="B748" s="10"/>
      <c r="C748" s="10"/>
      <c r="D748" s="10"/>
      <c r="E748" s="10"/>
      <c r="F748" s="168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 ht="16.5" customHeight="1">
      <c r="A749" s="10"/>
      <c r="B749" s="10"/>
      <c r="C749" s="10"/>
      <c r="D749" s="10"/>
      <c r="E749" s="10"/>
      <c r="F749" s="168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 ht="16.5" customHeight="1">
      <c r="A750" s="10"/>
      <c r="B750" s="10"/>
      <c r="C750" s="10"/>
      <c r="D750" s="10"/>
      <c r="E750" s="10"/>
      <c r="F750" s="168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 ht="16.5" customHeight="1">
      <c r="A751" s="10"/>
      <c r="B751" s="10"/>
      <c r="C751" s="10"/>
      <c r="D751" s="10"/>
      <c r="E751" s="10"/>
      <c r="F751" s="168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 ht="16.5" customHeight="1">
      <c r="A752" s="10"/>
      <c r="B752" s="10"/>
      <c r="C752" s="10"/>
      <c r="D752" s="10"/>
      <c r="E752" s="10"/>
      <c r="F752" s="168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 ht="16.5" customHeight="1">
      <c r="A753" s="10"/>
      <c r="B753" s="10"/>
      <c r="C753" s="10"/>
      <c r="D753" s="10"/>
      <c r="E753" s="10"/>
      <c r="F753" s="16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 ht="16.5" customHeight="1">
      <c r="A754" s="10"/>
      <c r="B754" s="10"/>
      <c r="C754" s="10"/>
      <c r="D754" s="10"/>
      <c r="E754" s="10"/>
      <c r="F754" s="168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 ht="16.5" customHeight="1">
      <c r="A755" s="10"/>
      <c r="B755" s="10"/>
      <c r="C755" s="10"/>
      <c r="D755" s="10"/>
      <c r="E755" s="10"/>
      <c r="F755" s="16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 ht="16.5" customHeight="1">
      <c r="A756" s="10"/>
      <c r="B756" s="10"/>
      <c r="C756" s="10"/>
      <c r="D756" s="10"/>
      <c r="E756" s="10"/>
      <c r="F756" s="168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 ht="16.5" customHeight="1">
      <c r="A757" s="10"/>
      <c r="B757" s="10"/>
      <c r="C757" s="10"/>
      <c r="D757" s="10"/>
      <c r="E757" s="10"/>
      <c r="F757" s="168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 ht="16.5" customHeight="1">
      <c r="A758" s="10"/>
      <c r="B758" s="10"/>
      <c r="C758" s="10"/>
      <c r="D758" s="10"/>
      <c r="E758" s="10"/>
      <c r="F758" s="168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 ht="16.5" customHeight="1">
      <c r="A759" s="10"/>
      <c r="B759" s="10"/>
      <c r="C759" s="10"/>
      <c r="D759" s="10"/>
      <c r="E759" s="10"/>
      <c r="F759" s="168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 ht="16.5" customHeight="1">
      <c r="A760" s="10"/>
      <c r="B760" s="10"/>
      <c r="C760" s="10"/>
      <c r="D760" s="10"/>
      <c r="E760" s="10"/>
      <c r="F760" s="168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 ht="16.5" customHeight="1">
      <c r="A761" s="10"/>
      <c r="B761" s="10"/>
      <c r="C761" s="10"/>
      <c r="D761" s="10"/>
      <c r="E761" s="10"/>
      <c r="F761" s="168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 ht="16.5" customHeight="1">
      <c r="A762" s="10"/>
      <c r="B762" s="10"/>
      <c r="C762" s="10"/>
      <c r="D762" s="10"/>
      <c r="E762" s="10"/>
      <c r="F762" s="168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 ht="16.5" customHeight="1">
      <c r="A763" s="10"/>
      <c r="B763" s="10"/>
      <c r="C763" s="10"/>
      <c r="D763" s="10"/>
      <c r="E763" s="10"/>
      <c r="F763" s="168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 ht="16.5" customHeight="1">
      <c r="A764" s="10"/>
      <c r="B764" s="10"/>
      <c r="C764" s="10"/>
      <c r="D764" s="10"/>
      <c r="E764" s="10"/>
      <c r="F764" s="168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 ht="16.5" customHeight="1">
      <c r="A765" s="10"/>
      <c r="B765" s="10"/>
      <c r="C765" s="10"/>
      <c r="D765" s="10"/>
      <c r="E765" s="10"/>
      <c r="F765" s="168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 ht="16.5" customHeight="1">
      <c r="A766" s="10"/>
      <c r="B766" s="10"/>
      <c r="C766" s="10"/>
      <c r="D766" s="10"/>
      <c r="E766" s="10"/>
      <c r="F766" s="168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 ht="16.5" customHeight="1">
      <c r="A767" s="10"/>
      <c r="B767" s="10"/>
      <c r="C767" s="10"/>
      <c r="D767" s="10"/>
      <c r="E767" s="10"/>
      <c r="F767" s="168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 ht="16.5" customHeight="1">
      <c r="A768" s="10"/>
      <c r="B768" s="10"/>
      <c r="C768" s="10"/>
      <c r="D768" s="10"/>
      <c r="E768" s="10"/>
      <c r="F768" s="168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 ht="16.5" customHeight="1">
      <c r="A769" s="10"/>
      <c r="B769" s="10"/>
      <c r="C769" s="10"/>
      <c r="D769" s="10"/>
      <c r="E769" s="10"/>
      <c r="F769" s="168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 ht="16.5" customHeight="1">
      <c r="A770" s="10"/>
      <c r="B770" s="10"/>
      <c r="C770" s="10"/>
      <c r="D770" s="10"/>
      <c r="E770" s="10"/>
      <c r="F770" s="168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 ht="16.5" customHeight="1">
      <c r="A771" s="10"/>
      <c r="B771" s="10"/>
      <c r="C771" s="10"/>
      <c r="D771" s="10"/>
      <c r="E771" s="10"/>
      <c r="F771" s="168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 ht="16.5" customHeight="1">
      <c r="A772" s="10"/>
      <c r="B772" s="10"/>
      <c r="C772" s="10"/>
      <c r="D772" s="10"/>
      <c r="E772" s="10"/>
      <c r="F772" s="16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 ht="16.5" customHeight="1">
      <c r="A773" s="10"/>
      <c r="B773" s="10"/>
      <c r="C773" s="10"/>
      <c r="D773" s="10"/>
      <c r="E773" s="10"/>
      <c r="F773" s="168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 ht="16.5" customHeight="1">
      <c r="A774" s="10"/>
      <c r="B774" s="10"/>
      <c r="C774" s="10"/>
      <c r="D774" s="10"/>
      <c r="E774" s="10"/>
      <c r="F774" s="168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 ht="16.5" customHeight="1">
      <c r="A775" s="10"/>
      <c r="B775" s="10"/>
      <c r="C775" s="10"/>
      <c r="D775" s="10"/>
      <c r="E775" s="10"/>
      <c r="F775" s="168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 ht="16.5" customHeight="1">
      <c r="A776" s="10"/>
      <c r="B776" s="10"/>
      <c r="C776" s="10"/>
      <c r="D776" s="10"/>
      <c r="E776" s="10"/>
      <c r="F776" s="168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 ht="16.5" customHeight="1">
      <c r="A777" s="10"/>
      <c r="B777" s="10"/>
      <c r="C777" s="10"/>
      <c r="D777" s="10"/>
      <c r="E777" s="10"/>
      <c r="F777" s="168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 ht="16.5" customHeight="1">
      <c r="A778" s="10"/>
      <c r="B778" s="10"/>
      <c r="C778" s="10"/>
      <c r="D778" s="10"/>
      <c r="E778" s="10"/>
      <c r="F778" s="168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 ht="16.5" customHeight="1">
      <c r="A779" s="10"/>
      <c r="B779" s="10"/>
      <c r="C779" s="10"/>
      <c r="D779" s="10"/>
      <c r="E779" s="10"/>
      <c r="F779" s="168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 ht="16.5" customHeight="1">
      <c r="A780" s="10"/>
      <c r="B780" s="10"/>
      <c r="C780" s="10"/>
      <c r="D780" s="10"/>
      <c r="E780" s="10"/>
      <c r="F780" s="168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 ht="16.5" customHeight="1">
      <c r="A781" s="10"/>
      <c r="B781" s="10"/>
      <c r="C781" s="10"/>
      <c r="D781" s="10"/>
      <c r="E781" s="10"/>
      <c r="F781" s="168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 ht="16.5" customHeight="1">
      <c r="A782" s="10"/>
      <c r="B782" s="10"/>
      <c r="C782" s="10"/>
      <c r="D782" s="10"/>
      <c r="E782" s="10"/>
      <c r="F782" s="168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 ht="16.5" customHeight="1">
      <c r="A783" s="10"/>
      <c r="B783" s="10"/>
      <c r="C783" s="10"/>
      <c r="D783" s="10"/>
      <c r="E783" s="10"/>
      <c r="F783" s="168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 ht="16.5" customHeight="1">
      <c r="A784" s="10"/>
      <c r="B784" s="10"/>
      <c r="C784" s="10"/>
      <c r="D784" s="10"/>
      <c r="E784" s="10"/>
      <c r="F784" s="16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 ht="16.5" customHeight="1">
      <c r="A785" s="10"/>
      <c r="B785" s="10"/>
      <c r="C785" s="10"/>
      <c r="D785" s="10"/>
      <c r="E785" s="10"/>
      <c r="F785" s="168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 ht="16.5" customHeight="1">
      <c r="A786" s="10"/>
      <c r="B786" s="10"/>
      <c r="C786" s="10"/>
      <c r="D786" s="10"/>
      <c r="E786" s="10"/>
      <c r="F786" s="168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 ht="16.5" customHeight="1">
      <c r="A787" s="10"/>
      <c r="B787" s="10"/>
      <c r="C787" s="10"/>
      <c r="D787" s="10"/>
      <c r="E787" s="10"/>
      <c r="F787" s="168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 ht="16.5" customHeight="1">
      <c r="A788" s="10"/>
      <c r="B788" s="10"/>
      <c r="C788" s="10"/>
      <c r="D788" s="10"/>
      <c r="E788" s="10"/>
      <c r="F788" s="16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 ht="16.5" customHeight="1">
      <c r="A789" s="10"/>
      <c r="B789" s="10"/>
      <c r="C789" s="10"/>
      <c r="D789" s="10"/>
      <c r="E789" s="10"/>
      <c r="F789" s="168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 ht="16.5" customHeight="1">
      <c r="A790" s="10"/>
      <c r="B790" s="10"/>
      <c r="C790" s="10"/>
      <c r="D790" s="10"/>
      <c r="E790" s="10"/>
      <c r="F790" s="16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 ht="16.5" customHeight="1">
      <c r="A791" s="10"/>
      <c r="B791" s="10"/>
      <c r="C791" s="10"/>
      <c r="D791" s="10"/>
      <c r="E791" s="10"/>
      <c r="F791" s="168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 ht="16.5" customHeight="1">
      <c r="A792" s="10"/>
      <c r="B792" s="10"/>
      <c r="C792" s="10"/>
      <c r="D792" s="10"/>
      <c r="E792" s="10"/>
      <c r="F792" s="168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 ht="16.5" customHeight="1">
      <c r="A793" s="10"/>
      <c r="B793" s="10"/>
      <c r="C793" s="10"/>
      <c r="D793" s="10"/>
      <c r="E793" s="10"/>
      <c r="F793" s="168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 ht="16.5" customHeight="1">
      <c r="A794" s="10"/>
      <c r="B794" s="10"/>
      <c r="C794" s="10"/>
      <c r="D794" s="10"/>
      <c r="E794" s="10"/>
      <c r="F794" s="168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 ht="16.5" customHeight="1">
      <c r="A795" s="10"/>
      <c r="B795" s="10"/>
      <c r="C795" s="10"/>
      <c r="D795" s="10"/>
      <c r="E795" s="10"/>
      <c r="F795" s="168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 ht="16.5" customHeight="1">
      <c r="A796" s="10"/>
      <c r="B796" s="10"/>
      <c r="C796" s="10"/>
      <c r="D796" s="10"/>
      <c r="E796" s="10"/>
      <c r="F796" s="168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 ht="16.5" customHeight="1">
      <c r="A797" s="10"/>
      <c r="B797" s="10"/>
      <c r="C797" s="10"/>
      <c r="D797" s="10"/>
      <c r="E797" s="10"/>
      <c r="F797" s="168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 ht="16.5" customHeight="1">
      <c r="A798" s="10"/>
      <c r="B798" s="10"/>
      <c r="C798" s="10"/>
      <c r="D798" s="10"/>
      <c r="E798" s="10"/>
      <c r="F798" s="16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 ht="16.5" customHeight="1">
      <c r="A799" s="10"/>
      <c r="B799" s="10"/>
      <c r="C799" s="10"/>
      <c r="D799" s="10"/>
      <c r="E799" s="10"/>
      <c r="F799" s="168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 ht="16.5" customHeight="1">
      <c r="A800" s="10"/>
      <c r="B800" s="10"/>
      <c r="C800" s="10"/>
      <c r="D800" s="10"/>
      <c r="E800" s="10"/>
      <c r="F800" s="168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 ht="16.5" customHeight="1">
      <c r="A801" s="10"/>
      <c r="B801" s="10"/>
      <c r="C801" s="10"/>
      <c r="D801" s="10"/>
      <c r="E801" s="10"/>
      <c r="F801" s="168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 ht="16.5" customHeight="1">
      <c r="A802" s="10"/>
      <c r="B802" s="10"/>
      <c r="C802" s="10"/>
      <c r="D802" s="10"/>
      <c r="E802" s="10"/>
      <c r="F802" s="168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 ht="16.5" customHeight="1">
      <c r="A803" s="10"/>
      <c r="B803" s="10"/>
      <c r="C803" s="10"/>
      <c r="D803" s="10"/>
      <c r="E803" s="10"/>
      <c r="F803" s="168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 ht="16.5" customHeight="1">
      <c r="A804" s="10"/>
      <c r="B804" s="10"/>
      <c r="C804" s="10"/>
      <c r="D804" s="10"/>
      <c r="E804" s="10"/>
      <c r="F804" s="168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 ht="16.5" customHeight="1">
      <c r="A805" s="10"/>
      <c r="B805" s="10"/>
      <c r="C805" s="10"/>
      <c r="D805" s="10"/>
      <c r="E805" s="10"/>
      <c r="F805" s="168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 ht="16.5" customHeight="1">
      <c r="A806" s="10"/>
      <c r="B806" s="10"/>
      <c r="C806" s="10"/>
      <c r="D806" s="10"/>
      <c r="E806" s="10"/>
      <c r="F806" s="168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 ht="16.5" customHeight="1">
      <c r="A807" s="10"/>
      <c r="B807" s="10"/>
      <c r="C807" s="10"/>
      <c r="D807" s="10"/>
      <c r="E807" s="10"/>
      <c r="F807" s="168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 ht="16.5" customHeight="1">
      <c r="A808" s="10"/>
      <c r="B808" s="10"/>
      <c r="C808" s="10"/>
      <c r="D808" s="10"/>
      <c r="E808" s="10"/>
      <c r="F808" s="168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 ht="16.5" customHeight="1">
      <c r="A809" s="10"/>
      <c r="B809" s="10"/>
      <c r="C809" s="10"/>
      <c r="D809" s="10"/>
      <c r="E809" s="10"/>
      <c r="F809" s="168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 ht="16.5" customHeight="1">
      <c r="A810" s="10"/>
      <c r="B810" s="10"/>
      <c r="C810" s="10"/>
      <c r="D810" s="10"/>
      <c r="E810" s="10"/>
      <c r="F810" s="168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 ht="16.5" customHeight="1">
      <c r="A811" s="10"/>
      <c r="B811" s="10"/>
      <c r="C811" s="10"/>
      <c r="D811" s="10"/>
      <c r="E811" s="10"/>
      <c r="F811" s="168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 ht="16.5" customHeight="1">
      <c r="A812" s="10"/>
      <c r="B812" s="10"/>
      <c r="C812" s="10"/>
      <c r="D812" s="10"/>
      <c r="E812" s="10"/>
      <c r="F812" s="168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 ht="16.5" customHeight="1">
      <c r="A813" s="10"/>
      <c r="B813" s="10"/>
      <c r="C813" s="10"/>
      <c r="D813" s="10"/>
      <c r="E813" s="10"/>
      <c r="F813" s="168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 ht="16.5" customHeight="1">
      <c r="A814" s="10"/>
      <c r="B814" s="10"/>
      <c r="C814" s="10"/>
      <c r="D814" s="10"/>
      <c r="E814" s="10"/>
      <c r="F814" s="168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 ht="16.5" customHeight="1">
      <c r="A815" s="10"/>
      <c r="B815" s="10"/>
      <c r="C815" s="10"/>
      <c r="D815" s="10"/>
      <c r="E815" s="10"/>
      <c r="F815" s="168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 ht="16.5" customHeight="1">
      <c r="A816" s="10"/>
      <c r="B816" s="10"/>
      <c r="C816" s="10"/>
      <c r="D816" s="10"/>
      <c r="E816" s="10"/>
      <c r="F816" s="168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 ht="16.5" customHeight="1">
      <c r="A817" s="10"/>
      <c r="B817" s="10"/>
      <c r="C817" s="10"/>
      <c r="D817" s="10"/>
      <c r="E817" s="10"/>
      <c r="F817" s="168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 ht="16.5" customHeight="1">
      <c r="A818" s="10"/>
      <c r="B818" s="10"/>
      <c r="C818" s="10"/>
      <c r="D818" s="10"/>
      <c r="E818" s="10"/>
      <c r="F818" s="168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 ht="16.5" customHeight="1">
      <c r="A819" s="10"/>
      <c r="B819" s="10"/>
      <c r="C819" s="10"/>
      <c r="D819" s="10"/>
      <c r="E819" s="10"/>
      <c r="F819" s="168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 ht="16.5" customHeight="1">
      <c r="A820" s="10"/>
      <c r="B820" s="10"/>
      <c r="C820" s="10"/>
      <c r="D820" s="10"/>
      <c r="E820" s="10"/>
      <c r="F820" s="168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 ht="16.5" customHeight="1">
      <c r="A821" s="10"/>
      <c r="B821" s="10"/>
      <c r="C821" s="10"/>
      <c r="D821" s="10"/>
      <c r="E821" s="10"/>
      <c r="F821" s="168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 ht="16.5" customHeight="1">
      <c r="A822" s="10"/>
      <c r="B822" s="10"/>
      <c r="C822" s="10"/>
      <c r="D822" s="10"/>
      <c r="E822" s="10"/>
      <c r="F822" s="168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 ht="16.5" customHeight="1">
      <c r="A823" s="10"/>
      <c r="B823" s="10"/>
      <c r="C823" s="10"/>
      <c r="D823" s="10"/>
      <c r="E823" s="10"/>
      <c r="F823" s="168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 ht="16.5" customHeight="1">
      <c r="A824" s="10"/>
      <c r="B824" s="10"/>
      <c r="C824" s="10"/>
      <c r="D824" s="10"/>
      <c r="E824" s="10"/>
      <c r="F824" s="168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 ht="16.5" customHeight="1">
      <c r="A825" s="10"/>
      <c r="B825" s="10"/>
      <c r="C825" s="10"/>
      <c r="D825" s="10"/>
      <c r="E825" s="10"/>
      <c r="F825" s="168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 ht="16.5" customHeight="1">
      <c r="A826" s="10"/>
      <c r="B826" s="10"/>
      <c r="C826" s="10"/>
      <c r="D826" s="10"/>
      <c r="E826" s="10"/>
      <c r="F826" s="168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 ht="16.5" customHeight="1">
      <c r="A827" s="10"/>
      <c r="B827" s="10"/>
      <c r="C827" s="10"/>
      <c r="D827" s="10"/>
      <c r="E827" s="10"/>
      <c r="F827" s="168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 ht="16.5" customHeight="1">
      <c r="A828" s="10"/>
      <c r="B828" s="10"/>
      <c r="C828" s="10"/>
      <c r="D828" s="10"/>
      <c r="E828" s="10"/>
      <c r="F828" s="168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 ht="16.5" customHeight="1">
      <c r="A829" s="10"/>
      <c r="B829" s="10"/>
      <c r="C829" s="10"/>
      <c r="D829" s="10"/>
      <c r="E829" s="10"/>
      <c r="F829" s="168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 ht="16.5" customHeight="1">
      <c r="A830" s="10"/>
      <c r="B830" s="10"/>
      <c r="C830" s="10"/>
      <c r="D830" s="10"/>
      <c r="E830" s="10"/>
      <c r="F830" s="168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 ht="16.5" customHeight="1">
      <c r="A831" s="10"/>
      <c r="B831" s="10"/>
      <c r="C831" s="10"/>
      <c r="D831" s="10"/>
      <c r="E831" s="10"/>
      <c r="F831" s="168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 ht="16.5" customHeight="1">
      <c r="A832" s="10"/>
      <c r="B832" s="10"/>
      <c r="C832" s="10"/>
      <c r="D832" s="10"/>
      <c r="E832" s="10"/>
      <c r="F832" s="168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 ht="16.5" customHeight="1">
      <c r="A833" s="10"/>
      <c r="B833" s="10"/>
      <c r="C833" s="10"/>
      <c r="D833" s="10"/>
      <c r="E833" s="10"/>
      <c r="F833" s="168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 ht="16.5" customHeight="1">
      <c r="A834" s="10"/>
      <c r="B834" s="10"/>
      <c r="C834" s="10"/>
      <c r="D834" s="10"/>
      <c r="E834" s="10"/>
      <c r="F834" s="168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 ht="16.5" customHeight="1">
      <c r="A835" s="10"/>
      <c r="B835" s="10"/>
      <c r="C835" s="10"/>
      <c r="D835" s="10"/>
      <c r="E835" s="10"/>
      <c r="F835" s="168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 ht="16.5" customHeight="1">
      <c r="A836" s="10"/>
      <c r="B836" s="10"/>
      <c r="C836" s="10"/>
      <c r="D836" s="10"/>
      <c r="E836" s="10"/>
      <c r="F836" s="16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 ht="16.5" customHeight="1">
      <c r="A837" s="10"/>
      <c r="B837" s="10"/>
      <c r="C837" s="10"/>
      <c r="D837" s="10"/>
      <c r="E837" s="10"/>
      <c r="F837" s="168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 ht="16.5" customHeight="1">
      <c r="A838" s="10"/>
      <c r="B838" s="10"/>
      <c r="C838" s="10"/>
      <c r="D838" s="10"/>
      <c r="E838" s="10"/>
      <c r="F838" s="168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 ht="16.5" customHeight="1">
      <c r="A839" s="10"/>
      <c r="B839" s="10"/>
      <c r="C839" s="10"/>
      <c r="D839" s="10"/>
      <c r="E839" s="10"/>
      <c r="F839" s="168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 ht="16.5" customHeight="1">
      <c r="A840" s="10"/>
      <c r="B840" s="10"/>
      <c r="C840" s="10"/>
      <c r="D840" s="10"/>
      <c r="E840" s="10"/>
      <c r="F840" s="168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 ht="16.5" customHeight="1">
      <c r="A841" s="10"/>
      <c r="B841" s="10"/>
      <c r="C841" s="10"/>
      <c r="D841" s="10"/>
      <c r="E841" s="10"/>
      <c r="F841" s="168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 ht="16.5" customHeight="1">
      <c r="A842" s="10"/>
      <c r="B842" s="10"/>
      <c r="C842" s="10"/>
      <c r="D842" s="10"/>
      <c r="E842" s="10"/>
      <c r="F842" s="168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 ht="16.5" customHeight="1">
      <c r="A843" s="10"/>
      <c r="B843" s="10"/>
      <c r="C843" s="10"/>
      <c r="D843" s="10"/>
      <c r="E843" s="10"/>
      <c r="F843" s="168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 ht="16.5" customHeight="1">
      <c r="A844" s="10"/>
      <c r="B844" s="10"/>
      <c r="C844" s="10"/>
      <c r="D844" s="10"/>
      <c r="E844" s="10"/>
      <c r="F844" s="168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 ht="16.5" customHeight="1">
      <c r="A845" s="10"/>
      <c r="B845" s="10"/>
      <c r="C845" s="10"/>
      <c r="D845" s="10"/>
      <c r="E845" s="10"/>
      <c r="F845" s="168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 ht="16.5" customHeight="1">
      <c r="A846" s="10"/>
      <c r="B846" s="10"/>
      <c r="C846" s="10"/>
      <c r="D846" s="10"/>
      <c r="E846" s="10"/>
      <c r="F846" s="168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 ht="16.5" customHeight="1">
      <c r="A847" s="10"/>
      <c r="B847" s="10"/>
      <c r="C847" s="10"/>
      <c r="D847" s="10"/>
      <c r="E847" s="10"/>
      <c r="F847" s="168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 ht="16.5" customHeight="1">
      <c r="A848" s="10"/>
      <c r="B848" s="10"/>
      <c r="C848" s="10"/>
      <c r="D848" s="10"/>
      <c r="E848" s="10"/>
      <c r="F848" s="16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 ht="16.5" customHeight="1">
      <c r="A849" s="10"/>
      <c r="B849" s="10"/>
      <c r="C849" s="10"/>
      <c r="D849" s="10"/>
      <c r="E849" s="10"/>
      <c r="F849" s="168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 ht="16.5" customHeight="1">
      <c r="A850" s="10"/>
      <c r="B850" s="10"/>
      <c r="C850" s="10"/>
      <c r="D850" s="10"/>
      <c r="E850" s="10"/>
      <c r="F850" s="168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 ht="16.5" customHeight="1">
      <c r="A851" s="10"/>
      <c r="B851" s="10"/>
      <c r="C851" s="10"/>
      <c r="D851" s="10"/>
      <c r="E851" s="10"/>
      <c r="F851" s="168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 ht="16.5" customHeight="1">
      <c r="A852" s="10"/>
      <c r="B852" s="10"/>
      <c r="C852" s="10"/>
      <c r="D852" s="10"/>
      <c r="E852" s="10"/>
      <c r="F852" s="168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 ht="16.5" customHeight="1">
      <c r="A853" s="10"/>
      <c r="B853" s="10"/>
      <c r="C853" s="10"/>
      <c r="D853" s="10"/>
      <c r="E853" s="10"/>
      <c r="F853" s="168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 ht="16.5" customHeight="1">
      <c r="A854" s="10"/>
      <c r="B854" s="10"/>
      <c r="C854" s="10"/>
      <c r="D854" s="10"/>
      <c r="E854" s="10"/>
      <c r="F854" s="168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 ht="16.5" customHeight="1">
      <c r="A855" s="10"/>
      <c r="B855" s="10"/>
      <c r="C855" s="10"/>
      <c r="D855" s="10"/>
      <c r="E855" s="10"/>
      <c r="F855" s="168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 ht="16.5" customHeight="1">
      <c r="A856" s="10"/>
      <c r="B856" s="10"/>
      <c r="C856" s="10"/>
      <c r="D856" s="10"/>
      <c r="E856" s="10"/>
      <c r="F856" s="168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 ht="16.5" customHeight="1">
      <c r="A857" s="10"/>
      <c r="B857" s="10"/>
      <c r="C857" s="10"/>
      <c r="D857" s="10"/>
      <c r="E857" s="10"/>
      <c r="F857" s="168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 ht="16.5" customHeight="1">
      <c r="A858" s="10"/>
      <c r="B858" s="10"/>
      <c r="C858" s="10"/>
      <c r="D858" s="10"/>
      <c r="E858" s="10"/>
      <c r="F858" s="168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 ht="16.5" customHeight="1">
      <c r="A859" s="10"/>
      <c r="B859" s="10"/>
      <c r="C859" s="10"/>
      <c r="D859" s="10"/>
      <c r="E859" s="10"/>
      <c r="F859" s="168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 ht="16.5" customHeight="1">
      <c r="A860" s="10"/>
      <c r="B860" s="10"/>
      <c r="C860" s="10"/>
      <c r="D860" s="10"/>
      <c r="E860" s="10"/>
      <c r="F860" s="168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 ht="16.5" customHeight="1">
      <c r="A861" s="10"/>
      <c r="B861" s="10"/>
      <c r="C861" s="10"/>
      <c r="D861" s="10"/>
      <c r="E861" s="10"/>
      <c r="F861" s="168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 ht="16.5" customHeight="1">
      <c r="A862" s="10"/>
      <c r="B862" s="10"/>
      <c r="C862" s="10"/>
      <c r="D862" s="10"/>
      <c r="E862" s="10"/>
      <c r="F862" s="168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 ht="16.5" customHeight="1">
      <c r="A863" s="10"/>
      <c r="B863" s="10"/>
      <c r="C863" s="10"/>
      <c r="D863" s="10"/>
      <c r="E863" s="10"/>
      <c r="F863" s="168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 ht="16.5" customHeight="1">
      <c r="A864" s="10"/>
      <c r="B864" s="10"/>
      <c r="C864" s="10"/>
      <c r="D864" s="10"/>
      <c r="E864" s="10"/>
      <c r="F864" s="168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 ht="16.5" customHeight="1">
      <c r="A865" s="10"/>
      <c r="B865" s="10"/>
      <c r="C865" s="10"/>
      <c r="D865" s="10"/>
      <c r="E865" s="10"/>
      <c r="F865" s="168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 ht="16.5" customHeight="1">
      <c r="A866" s="10"/>
      <c r="B866" s="10"/>
      <c r="C866" s="10"/>
      <c r="D866" s="10"/>
      <c r="E866" s="10"/>
      <c r="F866" s="168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 ht="16.5" customHeight="1">
      <c r="A867" s="10"/>
      <c r="B867" s="10"/>
      <c r="C867" s="10"/>
      <c r="D867" s="10"/>
      <c r="E867" s="10"/>
      <c r="F867" s="168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 ht="16.5" customHeight="1">
      <c r="A868" s="10"/>
      <c r="B868" s="10"/>
      <c r="C868" s="10"/>
      <c r="D868" s="10"/>
      <c r="E868" s="10"/>
      <c r="F868" s="168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 ht="16.5" customHeight="1">
      <c r="A869" s="10"/>
      <c r="B869" s="10"/>
      <c r="C869" s="10"/>
      <c r="D869" s="10"/>
      <c r="E869" s="10"/>
      <c r="F869" s="168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 ht="16.5" customHeight="1">
      <c r="A870" s="10"/>
      <c r="B870" s="10"/>
      <c r="C870" s="10"/>
      <c r="D870" s="10"/>
      <c r="E870" s="10"/>
      <c r="F870" s="168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 ht="16.5" customHeight="1">
      <c r="A871" s="10"/>
      <c r="B871" s="10"/>
      <c r="C871" s="10"/>
      <c r="D871" s="10"/>
      <c r="E871" s="10"/>
      <c r="F871" s="168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 ht="16.5" customHeight="1">
      <c r="A872" s="10"/>
      <c r="B872" s="10"/>
      <c r="C872" s="10"/>
      <c r="D872" s="10"/>
      <c r="E872" s="10"/>
      <c r="F872" s="168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 ht="16.5" customHeight="1">
      <c r="A873" s="10"/>
      <c r="B873" s="10"/>
      <c r="C873" s="10"/>
      <c r="D873" s="10"/>
      <c r="E873" s="10"/>
      <c r="F873" s="168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 ht="16.5" customHeight="1">
      <c r="A874" s="10"/>
      <c r="B874" s="10"/>
      <c r="C874" s="10"/>
      <c r="D874" s="10"/>
      <c r="E874" s="10"/>
      <c r="F874" s="168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 ht="16.5" customHeight="1">
      <c r="A875" s="10"/>
      <c r="B875" s="10"/>
      <c r="C875" s="10"/>
      <c r="D875" s="10"/>
      <c r="E875" s="10"/>
      <c r="F875" s="168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 ht="16.5" customHeight="1">
      <c r="A876" s="10"/>
      <c r="B876" s="10"/>
      <c r="C876" s="10"/>
      <c r="D876" s="10"/>
      <c r="E876" s="10"/>
      <c r="F876" s="168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 ht="16.5" customHeight="1">
      <c r="A877" s="10"/>
      <c r="B877" s="10"/>
      <c r="C877" s="10"/>
      <c r="D877" s="10"/>
      <c r="E877" s="10"/>
      <c r="F877" s="168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 ht="16.5" customHeight="1">
      <c r="A878" s="10"/>
      <c r="B878" s="10"/>
      <c r="C878" s="10"/>
      <c r="D878" s="10"/>
      <c r="E878" s="10"/>
      <c r="F878" s="168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 ht="16.5" customHeight="1">
      <c r="A879" s="10"/>
      <c r="B879" s="10"/>
      <c r="C879" s="10"/>
      <c r="D879" s="10"/>
      <c r="E879" s="10"/>
      <c r="F879" s="168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 ht="16.5" customHeight="1">
      <c r="A880" s="10"/>
      <c r="B880" s="10"/>
      <c r="C880" s="10"/>
      <c r="D880" s="10"/>
      <c r="E880" s="10"/>
      <c r="F880" s="168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 ht="16.5" customHeight="1">
      <c r="A881" s="10"/>
      <c r="B881" s="10"/>
      <c r="C881" s="10"/>
      <c r="D881" s="10"/>
      <c r="E881" s="10"/>
      <c r="F881" s="168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 ht="16.5" customHeight="1">
      <c r="A882" s="10"/>
      <c r="B882" s="10"/>
      <c r="C882" s="10"/>
      <c r="D882" s="10"/>
      <c r="E882" s="10"/>
      <c r="F882" s="168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 ht="16.5" customHeight="1">
      <c r="A883" s="10"/>
      <c r="B883" s="10"/>
      <c r="C883" s="10"/>
      <c r="D883" s="10"/>
      <c r="E883" s="10"/>
      <c r="F883" s="168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 ht="16.5" customHeight="1">
      <c r="A884" s="10"/>
      <c r="B884" s="10"/>
      <c r="C884" s="10"/>
      <c r="D884" s="10"/>
      <c r="E884" s="10"/>
      <c r="F884" s="168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 ht="16.5" customHeight="1">
      <c r="A885" s="10"/>
      <c r="B885" s="10"/>
      <c r="C885" s="10"/>
      <c r="D885" s="10"/>
      <c r="E885" s="10"/>
      <c r="F885" s="168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 ht="16.5" customHeight="1">
      <c r="A886" s="10"/>
      <c r="B886" s="10"/>
      <c r="C886" s="10"/>
      <c r="D886" s="10"/>
      <c r="E886" s="10"/>
      <c r="F886" s="168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 ht="16.5" customHeight="1">
      <c r="A887" s="10"/>
      <c r="B887" s="10"/>
      <c r="C887" s="10"/>
      <c r="D887" s="10"/>
      <c r="E887" s="10"/>
      <c r="F887" s="168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 ht="16.5" customHeight="1">
      <c r="A888" s="10"/>
      <c r="B888" s="10"/>
      <c r="C888" s="10"/>
      <c r="D888" s="10"/>
      <c r="E888" s="10"/>
      <c r="F888" s="168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 ht="16.5" customHeight="1">
      <c r="A889" s="10"/>
      <c r="B889" s="10"/>
      <c r="C889" s="10"/>
      <c r="D889" s="10"/>
      <c r="E889" s="10"/>
      <c r="F889" s="168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 ht="16.5" customHeight="1">
      <c r="A890" s="10"/>
      <c r="B890" s="10"/>
      <c r="C890" s="10"/>
      <c r="D890" s="10"/>
      <c r="E890" s="10"/>
      <c r="F890" s="168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 ht="16.5" customHeight="1">
      <c r="A891" s="10"/>
      <c r="B891" s="10"/>
      <c r="C891" s="10"/>
      <c r="D891" s="10"/>
      <c r="E891" s="10"/>
      <c r="F891" s="168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 ht="16.5" customHeight="1">
      <c r="A892" s="10"/>
      <c r="B892" s="10"/>
      <c r="C892" s="10"/>
      <c r="D892" s="10"/>
      <c r="E892" s="10"/>
      <c r="F892" s="168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 ht="16.5" customHeight="1">
      <c r="A893" s="10"/>
      <c r="B893" s="10"/>
      <c r="C893" s="10"/>
      <c r="D893" s="10"/>
      <c r="E893" s="10"/>
      <c r="F893" s="168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 ht="16.5" customHeight="1">
      <c r="A894" s="10"/>
      <c r="B894" s="10"/>
      <c r="C894" s="10"/>
      <c r="D894" s="10"/>
      <c r="E894" s="10"/>
      <c r="F894" s="168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 ht="16.5" customHeight="1">
      <c r="A895" s="10"/>
      <c r="B895" s="10"/>
      <c r="C895" s="10"/>
      <c r="D895" s="10"/>
      <c r="E895" s="10"/>
      <c r="F895" s="168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 ht="16.5" customHeight="1">
      <c r="A896" s="10"/>
      <c r="B896" s="10"/>
      <c r="C896" s="10"/>
      <c r="D896" s="10"/>
      <c r="E896" s="10"/>
      <c r="F896" s="168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 ht="16.5" customHeight="1">
      <c r="A897" s="10"/>
      <c r="B897" s="10"/>
      <c r="C897" s="10"/>
      <c r="D897" s="10"/>
      <c r="E897" s="10"/>
      <c r="F897" s="168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 ht="16.5" customHeight="1">
      <c r="A898" s="10"/>
      <c r="B898" s="10"/>
      <c r="C898" s="10"/>
      <c r="D898" s="10"/>
      <c r="E898" s="10"/>
      <c r="F898" s="168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 ht="16.5" customHeight="1">
      <c r="A899" s="10"/>
      <c r="B899" s="10"/>
      <c r="C899" s="10"/>
      <c r="D899" s="10"/>
      <c r="E899" s="10"/>
      <c r="F899" s="168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 ht="16.5" customHeight="1">
      <c r="A900" s="10"/>
      <c r="B900" s="10"/>
      <c r="C900" s="10"/>
      <c r="D900" s="10"/>
      <c r="E900" s="10"/>
      <c r="F900" s="168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 ht="16.5" customHeight="1">
      <c r="A901" s="10"/>
      <c r="B901" s="10"/>
      <c r="C901" s="10"/>
      <c r="D901" s="10"/>
      <c r="E901" s="10"/>
      <c r="F901" s="168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 ht="16.5" customHeight="1">
      <c r="A902" s="10"/>
      <c r="B902" s="10"/>
      <c r="C902" s="10"/>
      <c r="D902" s="10"/>
      <c r="E902" s="10"/>
      <c r="F902" s="168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 ht="16.5" customHeight="1">
      <c r="A903" s="10"/>
      <c r="B903" s="10"/>
      <c r="C903" s="10"/>
      <c r="D903" s="10"/>
      <c r="E903" s="10"/>
      <c r="F903" s="168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 ht="16.5" customHeight="1">
      <c r="A904" s="10"/>
      <c r="B904" s="10"/>
      <c r="C904" s="10"/>
      <c r="D904" s="10"/>
      <c r="E904" s="10"/>
      <c r="F904" s="168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 ht="16.5" customHeight="1">
      <c r="A905" s="10"/>
      <c r="B905" s="10"/>
      <c r="C905" s="10"/>
      <c r="D905" s="10"/>
      <c r="E905" s="10"/>
      <c r="F905" s="168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 ht="16.5" customHeight="1">
      <c r="A906" s="10"/>
      <c r="B906" s="10"/>
      <c r="C906" s="10"/>
      <c r="D906" s="10"/>
      <c r="E906" s="10"/>
      <c r="F906" s="168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 ht="16.5" customHeight="1">
      <c r="A907" s="10"/>
      <c r="B907" s="10"/>
      <c r="C907" s="10"/>
      <c r="D907" s="10"/>
      <c r="E907" s="10"/>
      <c r="F907" s="168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 ht="16.5" customHeight="1">
      <c r="A908" s="10"/>
      <c r="B908" s="10"/>
      <c r="C908" s="10"/>
      <c r="D908" s="10"/>
      <c r="E908" s="10"/>
      <c r="F908" s="168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 ht="16.5" customHeight="1">
      <c r="A909" s="10"/>
      <c r="B909" s="10"/>
      <c r="C909" s="10"/>
      <c r="D909" s="10"/>
      <c r="E909" s="10"/>
      <c r="F909" s="168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 ht="16.5" customHeight="1">
      <c r="A910" s="10"/>
      <c r="B910" s="10"/>
      <c r="C910" s="10"/>
      <c r="D910" s="10"/>
      <c r="E910" s="10"/>
      <c r="F910" s="168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 ht="16.5" customHeight="1">
      <c r="A911" s="10"/>
      <c r="B911" s="10"/>
      <c r="C911" s="10"/>
      <c r="D911" s="10"/>
      <c r="E911" s="10"/>
      <c r="F911" s="168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 ht="16.5" customHeight="1">
      <c r="A912" s="10"/>
      <c r="B912" s="10"/>
      <c r="C912" s="10"/>
      <c r="D912" s="10"/>
      <c r="E912" s="10"/>
      <c r="F912" s="168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 ht="16.5" customHeight="1">
      <c r="A913" s="10"/>
      <c r="B913" s="10"/>
      <c r="C913" s="10"/>
      <c r="D913" s="10"/>
      <c r="E913" s="10"/>
      <c r="F913" s="168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 ht="16.5" customHeight="1">
      <c r="A914" s="10"/>
      <c r="B914" s="10"/>
      <c r="C914" s="10"/>
      <c r="D914" s="10"/>
      <c r="E914" s="10"/>
      <c r="F914" s="168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 ht="16.5" customHeight="1">
      <c r="A915" s="10"/>
      <c r="B915" s="10"/>
      <c r="C915" s="10"/>
      <c r="D915" s="10"/>
      <c r="E915" s="10"/>
      <c r="F915" s="168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 ht="16.5" customHeight="1">
      <c r="A916" s="10"/>
      <c r="B916" s="10"/>
      <c r="C916" s="10"/>
      <c r="D916" s="10"/>
      <c r="E916" s="10"/>
      <c r="F916" s="168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 ht="16.5" customHeight="1">
      <c r="A917" s="10"/>
      <c r="B917" s="10"/>
      <c r="C917" s="10"/>
      <c r="D917" s="10"/>
      <c r="E917" s="10"/>
      <c r="F917" s="168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 ht="16.5" customHeight="1">
      <c r="A918" s="10"/>
      <c r="B918" s="10"/>
      <c r="C918" s="10"/>
      <c r="D918" s="10"/>
      <c r="E918" s="10"/>
      <c r="F918" s="168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 ht="16.5" customHeight="1">
      <c r="A919" s="10"/>
      <c r="B919" s="10"/>
      <c r="C919" s="10"/>
      <c r="D919" s="10"/>
      <c r="E919" s="10"/>
      <c r="F919" s="168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 ht="16.5" customHeight="1">
      <c r="A920" s="10"/>
      <c r="B920" s="10"/>
      <c r="C920" s="10"/>
      <c r="D920" s="10"/>
      <c r="E920" s="10"/>
      <c r="F920" s="168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 ht="16.5" customHeight="1">
      <c r="A921" s="10"/>
      <c r="B921" s="10"/>
      <c r="C921" s="10"/>
      <c r="D921" s="10"/>
      <c r="E921" s="10"/>
      <c r="F921" s="168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 ht="16.5" customHeight="1">
      <c r="A922" s="10"/>
      <c r="B922" s="10"/>
      <c r="C922" s="10"/>
      <c r="D922" s="10"/>
      <c r="E922" s="10"/>
      <c r="F922" s="168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 ht="16.5" customHeight="1">
      <c r="A923" s="10"/>
      <c r="B923" s="10"/>
      <c r="C923" s="10"/>
      <c r="D923" s="10"/>
      <c r="E923" s="10"/>
      <c r="F923" s="168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 ht="16.5" customHeight="1">
      <c r="A924" s="10"/>
      <c r="B924" s="10"/>
      <c r="C924" s="10"/>
      <c r="D924" s="10"/>
      <c r="E924" s="10"/>
      <c r="F924" s="168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 ht="16.5" customHeight="1">
      <c r="A925" s="10"/>
      <c r="B925" s="10"/>
      <c r="C925" s="10"/>
      <c r="D925" s="10"/>
      <c r="E925" s="10"/>
      <c r="F925" s="168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 ht="16.5" customHeight="1">
      <c r="A926" s="10"/>
      <c r="B926" s="10"/>
      <c r="C926" s="10"/>
      <c r="D926" s="10"/>
      <c r="E926" s="10"/>
      <c r="F926" s="168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 ht="16.5" customHeight="1">
      <c r="A927" s="10"/>
      <c r="B927" s="10"/>
      <c r="C927" s="10"/>
      <c r="D927" s="10"/>
      <c r="E927" s="10"/>
      <c r="F927" s="168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 ht="16.5" customHeight="1">
      <c r="A928" s="10"/>
      <c r="B928" s="10"/>
      <c r="C928" s="10"/>
      <c r="D928" s="10"/>
      <c r="E928" s="10"/>
      <c r="F928" s="168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 ht="16.5" customHeight="1">
      <c r="A929" s="10"/>
      <c r="B929" s="10"/>
      <c r="C929" s="10"/>
      <c r="D929" s="10"/>
      <c r="E929" s="10"/>
      <c r="F929" s="168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 ht="16.5" customHeight="1">
      <c r="A930" s="10"/>
      <c r="B930" s="10"/>
      <c r="C930" s="10"/>
      <c r="D930" s="10"/>
      <c r="E930" s="10"/>
      <c r="F930" s="168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 ht="16.5" customHeight="1">
      <c r="A931" s="10"/>
      <c r="B931" s="10"/>
      <c r="C931" s="10"/>
      <c r="D931" s="10"/>
      <c r="E931" s="10"/>
      <c r="F931" s="168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 ht="16.5" customHeight="1">
      <c r="A932" s="10"/>
      <c r="B932" s="10"/>
      <c r="C932" s="10"/>
      <c r="D932" s="10"/>
      <c r="E932" s="10"/>
      <c r="F932" s="168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 ht="16.5" customHeight="1">
      <c r="A933" s="10"/>
      <c r="B933" s="10"/>
      <c r="C933" s="10"/>
      <c r="D933" s="10"/>
      <c r="E933" s="10"/>
      <c r="F933" s="168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 ht="16.5" customHeight="1">
      <c r="A934" s="10"/>
      <c r="B934" s="10"/>
      <c r="C934" s="10"/>
      <c r="D934" s="10"/>
      <c r="E934" s="10"/>
      <c r="F934" s="168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 ht="16.5" customHeight="1">
      <c r="A935" s="10"/>
      <c r="B935" s="10"/>
      <c r="C935" s="10"/>
      <c r="D935" s="10"/>
      <c r="E935" s="10"/>
      <c r="F935" s="168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 ht="16.5" customHeight="1">
      <c r="A936" s="10"/>
      <c r="B936" s="10"/>
      <c r="C936" s="10"/>
      <c r="D936" s="10"/>
      <c r="E936" s="10"/>
      <c r="F936" s="168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 ht="16.5" customHeight="1">
      <c r="A937" s="10"/>
      <c r="B937" s="10"/>
      <c r="C937" s="10"/>
      <c r="D937" s="10"/>
      <c r="E937" s="10"/>
      <c r="F937" s="168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 ht="16.5" customHeight="1">
      <c r="A938" s="10"/>
      <c r="B938" s="10"/>
      <c r="C938" s="10"/>
      <c r="D938" s="10"/>
      <c r="E938" s="10"/>
      <c r="F938" s="168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 ht="16.5" customHeight="1">
      <c r="A939" s="10"/>
      <c r="B939" s="10"/>
      <c r="C939" s="10"/>
      <c r="D939" s="10"/>
      <c r="E939" s="10"/>
      <c r="F939" s="168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 ht="16.5" customHeight="1">
      <c r="A940" s="10"/>
      <c r="B940" s="10"/>
      <c r="C940" s="10"/>
      <c r="D940" s="10"/>
      <c r="E940" s="10"/>
      <c r="F940" s="168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 ht="16.5" customHeight="1">
      <c r="A941" s="10"/>
      <c r="B941" s="10"/>
      <c r="C941" s="10"/>
      <c r="D941" s="10"/>
      <c r="E941" s="10"/>
      <c r="F941" s="168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 ht="16.5" customHeight="1">
      <c r="A942" s="10"/>
      <c r="B942" s="10"/>
      <c r="C942" s="10"/>
      <c r="D942" s="10"/>
      <c r="E942" s="10"/>
      <c r="F942" s="168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 ht="16.5" customHeight="1">
      <c r="A943" s="10"/>
      <c r="B943" s="10"/>
      <c r="C943" s="10"/>
      <c r="D943" s="10"/>
      <c r="E943" s="10"/>
      <c r="F943" s="168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 ht="16.5" customHeight="1">
      <c r="A944" s="10"/>
      <c r="B944" s="10"/>
      <c r="C944" s="10"/>
      <c r="D944" s="10"/>
      <c r="E944" s="10"/>
      <c r="F944" s="168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 ht="16.5" customHeight="1">
      <c r="A945" s="10"/>
      <c r="B945" s="10"/>
      <c r="C945" s="10"/>
      <c r="D945" s="10"/>
      <c r="E945" s="10"/>
      <c r="F945" s="168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 ht="16.5" customHeight="1">
      <c r="A946" s="10"/>
      <c r="B946" s="10"/>
      <c r="C946" s="10"/>
      <c r="D946" s="10"/>
      <c r="E946" s="10"/>
      <c r="F946" s="168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 ht="16.5" customHeight="1">
      <c r="A947" s="10"/>
      <c r="B947" s="10"/>
      <c r="C947" s="10"/>
      <c r="D947" s="10"/>
      <c r="E947" s="10"/>
      <c r="F947" s="168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 ht="16.5" customHeight="1">
      <c r="A948" s="10"/>
      <c r="B948" s="10"/>
      <c r="C948" s="10"/>
      <c r="D948" s="10"/>
      <c r="E948" s="10"/>
      <c r="F948" s="168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 ht="16.5" customHeight="1">
      <c r="A949" s="10"/>
      <c r="B949" s="10"/>
      <c r="C949" s="10"/>
      <c r="D949" s="10"/>
      <c r="E949" s="10"/>
      <c r="F949" s="168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 ht="16.5" customHeight="1">
      <c r="A950" s="10"/>
      <c r="B950" s="10"/>
      <c r="C950" s="10"/>
      <c r="D950" s="10"/>
      <c r="E950" s="10"/>
      <c r="F950" s="168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 ht="16.5" customHeight="1">
      <c r="A951" s="10"/>
      <c r="B951" s="10"/>
      <c r="C951" s="10"/>
      <c r="D951" s="10"/>
      <c r="E951" s="10"/>
      <c r="F951" s="168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 ht="16.5" customHeight="1">
      <c r="A952" s="10"/>
      <c r="B952" s="10"/>
      <c r="C952" s="10"/>
      <c r="D952" s="10"/>
      <c r="E952" s="10"/>
      <c r="F952" s="168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 ht="16.5" customHeight="1">
      <c r="A953" s="10"/>
      <c r="B953" s="10"/>
      <c r="C953" s="10"/>
      <c r="D953" s="10"/>
      <c r="E953" s="10"/>
      <c r="F953" s="168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 ht="16.5" customHeight="1">
      <c r="A954" s="10"/>
      <c r="B954" s="10"/>
      <c r="C954" s="10"/>
      <c r="D954" s="10"/>
      <c r="E954" s="10"/>
      <c r="F954" s="168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 ht="16.5" customHeight="1">
      <c r="A955" s="10"/>
      <c r="B955" s="10"/>
      <c r="C955" s="10"/>
      <c r="D955" s="10"/>
      <c r="E955" s="10"/>
      <c r="F955" s="168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 ht="16.5" customHeight="1">
      <c r="A956" s="10"/>
      <c r="B956" s="10"/>
      <c r="C956" s="10"/>
      <c r="D956" s="10"/>
      <c r="E956" s="10"/>
      <c r="F956" s="168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 ht="16.5" customHeight="1">
      <c r="A957" s="10"/>
      <c r="B957" s="10"/>
      <c r="C957" s="10"/>
      <c r="D957" s="10"/>
      <c r="E957" s="10"/>
      <c r="F957" s="168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 ht="16.5" customHeight="1">
      <c r="A958" s="10"/>
      <c r="B958" s="10"/>
      <c r="C958" s="10"/>
      <c r="D958" s="10"/>
      <c r="E958" s="10"/>
      <c r="F958" s="168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 ht="16.5" customHeight="1">
      <c r="A959" s="10"/>
      <c r="B959" s="10"/>
      <c r="C959" s="10"/>
      <c r="D959" s="10"/>
      <c r="E959" s="10"/>
      <c r="F959" s="168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 ht="16.5" customHeight="1">
      <c r="A960" s="10"/>
      <c r="B960" s="10"/>
      <c r="C960" s="10"/>
      <c r="D960" s="10"/>
      <c r="E960" s="10"/>
      <c r="F960" s="168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 ht="16.5" customHeight="1">
      <c r="A961" s="10"/>
      <c r="B961" s="10"/>
      <c r="C961" s="10"/>
      <c r="D961" s="10"/>
      <c r="E961" s="10"/>
      <c r="F961" s="168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 ht="16.5" customHeight="1">
      <c r="A962" s="10"/>
      <c r="B962" s="10"/>
      <c r="C962" s="10"/>
      <c r="D962" s="10"/>
      <c r="E962" s="10"/>
      <c r="F962" s="168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 ht="16.5" customHeight="1">
      <c r="A963" s="10"/>
      <c r="B963" s="10"/>
      <c r="C963" s="10"/>
      <c r="D963" s="10"/>
      <c r="E963" s="10"/>
      <c r="F963" s="168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 ht="16.5" customHeight="1">
      <c r="A964" s="10"/>
      <c r="B964" s="10"/>
      <c r="C964" s="10"/>
      <c r="D964" s="10"/>
      <c r="E964" s="10"/>
      <c r="F964" s="168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 ht="16.5" customHeight="1">
      <c r="A965" s="10"/>
      <c r="B965" s="10"/>
      <c r="C965" s="10"/>
      <c r="D965" s="10"/>
      <c r="E965" s="10"/>
      <c r="F965" s="168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 ht="16.5" customHeight="1">
      <c r="A966" s="10"/>
      <c r="B966" s="10"/>
      <c r="C966" s="10"/>
      <c r="D966" s="10"/>
      <c r="E966" s="10"/>
      <c r="F966" s="168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 ht="16.5" customHeight="1">
      <c r="A967" s="10"/>
      <c r="B967" s="10"/>
      <c r="C967" s="10"/>
      <c r="D967" s="10"/>
      <c r="E967" s="10"/>
      <c r="F967" s="168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 ht="16.5" customHeight="1">
      <c r="A968" s="10"/>
      <c r="B968" s="10"/>
      <c r="C968" s="10"/>
      <c r="D968" s="10"/>
      <c r="E968" s="10"/>
      <c r="F968" s="168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 ht="16.5" customHeight="1">
      <c r="A969" s="10"/>
      <c r="B969" s="10"/>
      <c r="C969" s="10"/>
      <c r="D969" s="10"/>
      <c r="E969" s="10"/>
      <c r="F969" s="168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 ht="16.5" customHeight="1">
      <c r="A970" s="10"/>
      <c r="B970" s="10"/>
      <c r="C970" s="10"/>
      <c r="D970" s="10"/>
      <c r="E970" s="10"/>
      <c r="F970" s="168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 ht="16.5" customHeight="1">
      <c r="A971" s="10"/>
      <c r="B971" s="10"/>
      <c r="C971" s="10"/>
      <c r="D971" s="10"/>
      <c r="E971" s="10"/>
      <c r="F971" s="168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 ht="16.5" customHeight="1">
      <c r="A972" s="10"/>
      <c r="B972" s="10"/>
      <c r="C972" s="10"/>
      <c r="D972" s="10"/>
      <c r="E972" s="10"/>
      <c r="F972" s="168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 ht="16.5" customHeight="1">
      <c r="A973" s="10"/>
      <c r="B973" s="10"/>
      <c r="C973" s="10"/>
      <c r="D973" s="10"/>
      <c r="E973" s="10"/>
      <c r="F973" s="168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 ht="16.5" customHeight="1">
      <c r="A974" s="10"/>
      <c r="B974" s="10"/>
      <c r="C974" s="10"/>
      <c r="D974" s="10"/>
      <c r="E974" s="10"/>
      <c r="F974" s="168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 ht="16.5" customHeight="1">
      <c r="A975" s="10"/>
      <c r="B975" s="10"/>
      <c r="C975" s="10"/>
      <c r="D975" s="10"/>
      <c r="E975" s="10"/>
      <c r="F975" s="168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 ht="16.5" customHeight="1">
      <c r="A976" s="10"/>
      <c r="B976" s="10"/>
      <c r="C976" s="10"/>
      <c r="D976" s="10"/>
      <c r="E976" s="10"/>
      <c r="F976" s="168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 ht="16.5" customHeight="1">
      <c r="A977" s="10"/>
      <c r="B977" s="10"/>
      <c r="C977" s="10"/>
      <c r="D977" s="10"/>
      <c r="E977" s="10"/>
      <c r="F977" s="168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 ht="16.5" customHeight="1">
      <c r="A978" s="10"/>
      <c r="B978" s="10"/>
      <c r="C978" s="10"/>
      <c r="D978" s="10"/>
      <c r="E978" s="10"/>
      <c r="F978" s="168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 ht="16.5" customHeight="1">
      <c r="A979" s="10"/>
      <c r="B979" s="10"/>
      <c r="C979" s="10"/>
      <c r="D979" s="10"/>
      <c r="E979" s="10"/>
      <c r="F979" s="168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 ht="16.5" customHeight="1">
      <c r="A980" s="10"/>
      <c r="B980" s="10"/>
      <c r="C980" s="10"/>
      <c r="D980" s="10"/>
      <c r="E980" s="10"/>
      <c r="F980" s="168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 ht="16.5" customHeight="1">
      <c r="A981" s="10"/>
      <c r="B981" s="10"/>
      <c r="C981" s="10"/>
      <c r="D981" s="10"/>
      <c r="E981" s="10"/>
      <c r="F981" s="168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 ht="16.5" customHeight="1">
      <c r="A982" s="10"/>
      <c r="B982" s="10"/>
      <c r="C982" s="10"/>
      <c r="D982" s="10"/>
      <c r="E982" s="10"/>
      <c r="F982" s="168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 ht="16.5" customHeight="1">
      <c r="A983" s="10"/>
      <c r="B983" s="10"/>
      <c r="C983" s="10"/>
      <c r="D983" s="10"/>
      <c r="E983" s="10"/>
      <c r="F983" s="168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 ht="16.5" customHeight="1">
      <c r="A984" s="10"/>
      <c r="B984" s="10"/>
      <c r="C984" s="10"/>
      <c r="D984" s="10"/>
      <c r="E984" s="10"/>
      <c r="F984" s="168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 ht="16.5" customHeight="1">
      <c r="A985" s="10"/>
      <c r="B985" s="10"/>
      <c r="C985" s="10"/>
      <c r="D985" s="10"/>
      <c r="E985" s="10"/>
      <c r="F985" s="168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 ht="16.5" customHeight="1">
      <c r="A986" s="10"/>
      <c r="B986" s="10"/>
      <c r="C986" s="10"/>
      <c r="D986" s="10"/>
      <c r="E986" s="10"/>
      <c r="F986" s="168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 ht="16.5" customHeight="1">
      <c r="A987" s="10"/>
      <c r="B987" s="10"/>
      <c r="C987" s="10"/>
      <c r="D987" s="10"/>
      <c r="E987" s="10"/>
      <c r="F987" s="168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 ht="16.5" customHeight="1">
      <c r="A988" s="10"/>
      <c r="B988" s="10"/>
      <c r="C988" s="10"/>
      <c r="D988" s="10"/>
      <c r="E988" s="10"/>
      <c r="F988" s="168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 ht="16.5" customHeight="1">
      <c r="A989" s="10"/>
      <c r="B989" s="10"/>
      <c r="C989" s="10"/>
      <c r="D989" s="10"/>
      <c r="E989" s="10"/>
      <c r="F989" s="168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 ht="16.5" customHeight="1">
      <c r="A990" s="10"/>
      <c r="B990" s="10"/>
      <c r="C990" s="10"/>
      <c r="D990" s="10"/>
      <c r="E990" s="10"/>
      <c r="F990" s="168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 ht="16.5" customHeight="1">
      <c r="A991" s="10"/>
      <c r="B991" s="10"/>
      <c r="C991" s="10"/>
      <c r="D991" s="10"/>
      <c r="E991" s="10"/>
      <c r="F991" s="168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 ht="16.5" customHeight="1">
      <c r="A992" s="10"/>
      <c r="B992" s="10"/>
      <c r="C992" s="10"/>
      <c r="D992" s="10"/>
      <c r="E992" s="10"/>
      <c r="F992" s="168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 ht="16.5" customHeight="1">
      <c r="A993" s="10"/>
      <c r="B993" s="10"/>
      <c r="C993" s="10"/>
      <c r="D993" s="10"/>
      <c r="E993" s="10"/>
      <c r="F993" s="168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 ht="16.5" customHeight="1">
      <c r="A994" s="10"/>
      <c r="B994" s="10"/>
      <c r="C994" s="10"/>
      <c r="D994" s="10"/>
      <c r="E994" s="10"/>
      <c r="F994" s="168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 ht="16.5" customHeight="1">
      <c r="A995" s="10"/>
      <c r="B995" s="10"/>
      <c r="C995" s="10"/>
      <c r="D995" s="10"/>
      <c r="E995" s="10"/>
      <c r="F995" s="168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 ht="16.5" customHeight="1">
      <c r="A996" s="10"/>
      <c r="B996" s="10"/>
      <c r="C996" s="10"/>
      <c r="D996" s="10"/>
      <c r="E996" s="10"/>
      <c r="F996" s="168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 ht="16.5" customHeight="1">
      <c r="A997" s="10"/>
      <c r="B997" s="10"/>
      <c r="C997" s="10"/>
      <c r="D997" s="10"/>
      <c r="E997" s="10"/>
      <c r="F997" s="168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 ht="16.5" customHeight="1">
      <c r="A998" s="10"/>
      <c r="B998" s="10"/>
      <c r="C998" s="10"/>
      <c r="D998" s="10"/>
      <c r="E998" s="10"/>
      <c r="F998" s="168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 ht="16.5" customHeight="1">
      <c r="A999" s="10"/>
      <c r="B999" s="10"/>
      <c r="C999" s="10"/>
      <c r="D999" s="10"/>
      <c r="E999" s="10"/>
      <c r="F999" s="168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 ht="16.5" customHeight="1">
      <c r="A1000" s="10"/>
      <c r="B1000" s="10"/>
      <c r="C1000" s="10"/>
      <c r="D1000" s="10"/>
      <c r="E1000" s="10"/>
      <c r="F1000" s="168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</sheetData>
  <mergeCells count="12">
    <mergeCell ref="A31:A40"/>
    <mergeCell ref="A41:A54"/>
    <mergeCell ref="B1:G1"/>
    <mergeCell ref="I1:P1"/>
    <mergeCell ref="A2:F2"/>
    <mergeCell ref="A4:A20"/>
    <mergeCell ref="A21:A30"/>
    <mergeCell ref="A55:A69"/>
    <mergeCell ref="A70:A79"/>
    <mergeCell ref="A80:A90"/>
    <mergeCell ref="A91:A101"/>
    <mergeCell ref="A102:A114"/>
  </mergeCells>
  <phoneticPr fontId="51" type="noConversion"/>
  <printOptions horizontalCentered="1"/>
  <pageMargins left="0.31496062992125978" right="0.39370078740157483" top="0.55118110236220474" bottom="0.55118110236220474" header="0" footer="0"/>
  <pageSetup paperSize="9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資工系電腦教室需求-進修部</vt:lpstr>
      <vt:lpstr>資工系電腦教室需求-進專進院</vt:lpstr>
      <vt:lpstr>外聘兼任教師名冊</vt:lpstr>
      <vt:lpstr>假日二技資工必選修課程</vt:lpstr>
      <vt:lpstr>資工系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Tony</dc:creator>
  <cp:keywords/>
  <dc:description/>
  <cp:lastModifiedBy>Nanya</cp:lastModifiedBy>
  <cp:revision/>
  <dcterms:created xsi:type="dcterms:W3CDTF">2003-05-16T01:50:41Z</dcterms:created>
  <dcterms:modified xsi:type="dcterms:W3CDTF">2026-05-07T08:30:54Z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