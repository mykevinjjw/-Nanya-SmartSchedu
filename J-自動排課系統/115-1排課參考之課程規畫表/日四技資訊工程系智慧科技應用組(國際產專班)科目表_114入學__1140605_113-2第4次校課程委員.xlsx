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neDrive同步資料夾\OneDrive - 南亞技術學院\0_資工系相關業務\31_課程規劃\課程規劃表-New\"/>
    </mc:Choice>
  </mc:AlternateContent>
  <xr:revisionPtr revIDLastSave="4" documentId="14_{0501270F-2A78-40C0-87B4-C860234B7402}" xr6:coauthVersionLast="36" xr6:coauthVersionMax="36" xr10:uidLastSave="{4B9DF9C3-4C98-4A5B-BFF3-D63C64D6BF3B}"/>
  <bookViews>
    <workbookView xWindow="0" yWindow="0" windowWidth="13125" windowHeight="8790" xr2:uid="{00000000-000D-0000-FFFF-FFFF00000000}"/>
  </bookViews>
  <sheets>
    <sheet name="課程規劃表" sheetId="1" r:id="rId1"/>
    <sheet name="課程結構分析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  <c r="D15" i="1"/>
  <c r="N3" i="2" l="1"/>
  <c r="N2" i="2"/>
  <c r="M6" i="2"/>
  <c r="K7" i="2"/>
  <c r="C34" i="1" l="1"/>
  <c r="L7" i="2"/>
  <c r="M7" i="2"/>
  <c r="K6" i="2"/>
  <c r="L6" i="2"/>
  <c r="C36" i="1" l="1"/>
</calcChain>
</file>

<file path=xl/sharedStrings.xml><?xml version="1.0" encoding="utf-8"?>
<sst xmlns="http://schemas.openxmlformats.org/spreadsheetml/2006/main" count="382" uniqueCount="146">
  <si>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</si>
  <si>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</si>
  <si>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</si>
  <si>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</si>
  <si>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</si>
  <si>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</si>
  <si>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</si>
  <si>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</si>
  <si>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</si>
  <si>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</si>
  <si>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</si>
  <si>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</si>
  <si>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</si>
  <si>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</si>
  <si>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</si>
  <si>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</si>
  <si>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t>專業必修課程</t>
    <phoneticPr fontId="3" type="noConversion"/>
  </si>
  <si>
    <t>微積分</t>
    <phoneticPr fontId="3" type="noConversion"/>
  </si>
  <si>
    <t xml:space="preserve"> </t>
    <phoneticPr fontId="4" type="noConversion"/>
  </si>
  <si>
    <t>機率與統計</t>
    <phoneticPr fontId="2" type="noConversion"/>
  </si>
  <si>
    <t>作業系統實務</t>
    <phoneticPr fontId="4" type="noConversion"/>
  </si>
  <si>
    <t>網頁程式設計</t>
    <phoneticPr fontId="3" type="noConversion"/>
  </si>
  <si>
    <t>深度學習</t>
    <phoneticPr fontId="2" type="noConversion"/>
  </si>
  <si>
    <t>數位邏輯設計實務</t>
    <phoneticPr fontId="4" type="noConversion"/>
  </si>
  <si>
    <t>系統分析與設計</t>
    <phoneticPr fontId="4" type="noConversion"/>
  </si>
  <si>
    <t>智慧機器人創新實務與競賽</t>
    <phoneticPr fontId="4" type="noConversion"/>
  </si>
  <si>
    <t>數位信號處理</t>
    <phoneticPr fontId="3" type="noConversion"/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</si>
  <si>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</si>
  <si>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</si>
  <si>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</si>
  <si>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</si>
  <si>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</si>
  <si>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</si>
  <si>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勞作教育</t>
    <phoneticPr fontId="2" type="noConversion"/>
  </si>
  <si>
    <t>程式語言設計</t>
    <phoneticPr fontId="3" type="noConversion"/>
  </si>
  <si>
    <t>使用電腦</t>
    <phoneticPr fontId="2" type="noConversion"/>
  </si>
  <si>
    <t>計算機概論</t>
    <phoneticPr fontId="2" type="noConversion"/>
  </si>
  <si>
    <t>Python程式設計</t>
    <phoneticPr fontId="2" type="noConversion"/>
  </si>
  <si>
    <t>資料庫系統實務</t>
    <phoneticPr fontId="3" type="noConversion"/>
  </si>
  <si>
    <t>無人機概論</t>
    <phoneticPr fontId="2" type="noConversion"/>
  </si>
  <si>
    <t>資料結構</t>
    <phoneticPr fontId="3" type="noConversion"/>
  </si>
  <si>
    <t>網站建置實務</t>
    <phoneticPr fontId="2" type="noConversion"/>
  </si>
  <si>
    <t>APP規劃與設計</t>
    <phoneticPr fontId="3" type="noConversion"/>
  </si>
  <si>
    <t>無人機操控實務</t>
    <phoneticPr fontId="3" type="noConversion"/>
  </si>
  <si>
    <t>智慧應用實務</t>
    <phoneticPr fontId="3" type="noConversion"/>
  </si>
  <si>
    <t>感測控制與應用</t>
    <phoneticPr fontId="2" type="noConversion"/>
  </si>
  <si>
    <t>R程式語言</t>
    <phoneticPr fontId="2" type="noConversion"/>
  </si>
  <si>
    <t>決策支援與商業智慧</t>
    <phoneticPr fontId="2" type="noConversion"/>
  </si>
  <si>
    <t>大數據分析</t>
    <phoneticPr fontId="2" type="noConversion"/>
  </si>
  <si>
    <t>資料視覺化</t>
    <phoneticPr fontId="2" type="noConversion"/>
  </si>
  <si>
    <t>非關聯式資料庫</t>
    <phoneticPr fontId="2" type="noConversion"/>
  </si>
  <si>
    <t>物流與供應鏈管理</t>
    <phoneticPr fontId="3" type="noConversion"/>
  </si>
  <si>
    <t>雲端運算</t>
    <phoneticPr fontId="3" type="noConversion"/>
  </si>
  <si>
    <t>社群媒體行銷</t>
    <phoneticPr fontId="2" type="noConversion"/>
  </si>
  <si>
    <t>資料探勘</t>
    <phoneticPr fontId="3" type="noConversion"/>
  </si>
  <si>
    <t>電腦視覺</t>
    <phoneticPr fontId="2" type="noConversion"/>
  </si>
  <si>
    <t>人工智慧與專家系統</t>
    <phoneticPr fontId="2" type="noConversion"/>
  </si>
  <si>
    <t>人工智慧與產業分析</t>
    <phoneticPr fontId="2" type="noConversion"/>
  </si>
  <si>
    <t>無人機程式設計</t>
    <phoneticPr fontId="2" type="noConversion"/>
  </si>
  <si>
    <t>資通系統專案管理</t>
    <phoneticPr fontId="3" type="noConversion"/>
  </si>
  <si>
    <t>機率與統計</t>
    <phoneticPr fontId="2" type="noConversion"/>
  </si>
  <si>
    <t>無人機空拍應用實務</t>
    <phoneticPr fontId="2" type="noConversion"/>
  </si>
  <si>
    <t>智慧製造</t>
    <phoneticPr fontId="2" type="noConversion"/>
  </si>
  <si>
    <t>工業物聯網安全管理實務</t>
    <phoneticPr fontId="2" type="noConversion"/>
  </si>
  <si>
    <t>管理資訊系統</t>
    <phoneticPr fontId="3" type="noConversion"/>
  </si>
  <si>
    <t>資通安全管理系統實務</t>
    <phoneticPr fontId="2" type="noConversion"/>
  </si>
  <si>
    <t>雲端應用實務</t>
    <phoneticPr fontId="2" type="noConversion"/>
  </si>
  <si>
    <t>虛擬實境應用</t>
    <phoneticPr fontId="2" type="noConversion"/>
  </si>
  <si>
    <t>資料導向程式設計</t>
    <phoneticPr fontId="2" type="noConversion"/>
  </si>
  <si>
    <t>物聯網系統與應用</t>
    <phoneticPr fontId="3" type="noConversion"/>
  </si>
  <si>
    <t>機器學習概論</t>
    <phoneticPr fontId="3" type="noConversion"/>
  </si>
  <si>
    <t>無人機專業基本級證照課程</t>
    <phoneticPr fontId="3" type="noConversion"/>
  </si>
  <si>
    <t>地理資訊系統</t>
    <phoneticPr fontId="2" type="noConversion"/>
  </si>
  <si>
    <t>深度學習</t>
    <phoneticPr fontId="2" type="noConversion"/>
  </si>
  <si>
    <t>智慧機器人實務</t>
    <phoneticPr fontId="2" type="noConversion"/>
  </si>
  <si>
    <t>3D建模</t>
    <phoneticPr fontId="2" type="noConversion"/>
  </si>
  <si>
    <t>通訊網路概論</t>
    <phoneticPr fontId="3" type="noConversion"/>
  </si>
  <si>
    <t>使用電腦</t>
    <phoneticPr fontId="2" type="noConversion"/>
  </si>
  <si>
    <t>體育</t>
    <phoneticPr fontId="2" type="noConversion"/>
  </si>
  <si>
    <t>–</t>
    <phoneticPr fontId="2" type="noConversion"/>
  </si>
  <si>
    <t>3/3</t>
    <phoneticPr fontId="2" type="noConversion"/>
  </si>
  <si>
    <t>職場倫理與工廠實務</t>
    <phoneticPr fontId="2" type="noConversion"/>
  </si>
  <si>
    <t>生產管理實務</t>
    <phoneticPr fontId="2" type="noConversion"/>
  </si>
  <si>
    <t>電腦虛擬化</t>
    <phoneticPr fontId="2" type="noConversion"/>
  </si>
  <si>
    <t>網際網路服務與安全</t>
    <phoneticPr fontId="2" type="noConversion"/>
  </si>
  <si>
    <t>電腦硬體裝修裝修實務</t>
    <phoneticPr fontId="4" type="noConversion"/>
  </si>
  <si>
    <t>自114學年度新生起實施</t>
    <phoneticPr fontId="2" type="noConversion"/>
  </si>
  <si>
    <r>
      <rPr>
        <b/>
        <sz val="14"/>
        <rFont val="標楷體"/>
        <family val="4"/>
        <charset val="136"/>
      </rPr>
      <t>南亞技術學院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國際學生產學合作專班日間部四年制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資訊工程系智慧科技應用組 科目表</t>
    </r>
    <phoneticPr fontId="3" type="noConversion"/>
  </si>
  <si>
    <r>
      <t>Linux</t>
    </r>
    <r>
      <rPr>
        <sz val="9"/>
        <rFont val="微軟正黑體"/>
        <family val="2"/>
        <charset val="136"/>
      </rPr>
      <t>作業系統</t>
    </r>
    <phoneticPr fontId="2" type="noConversion"/>
  </si>
  <si>
    <t>南亞技術學院 國際學生產學合作專班日間部四年制資訊工程系智慧科技應用組 選修科目表</t>
    <phoneticPr fontId="3" type="noConversion"/>
  </si>
  <si>
    <t>選</t>
    <phoneticPr fontId="2" type="noConversion"/>
  </si>
  <si>
    <t>必</t>
    <phoneticPr fontId="3" type="noConversion"/>
  </si>
  <si>
    <t>學分</t>
    <phoneticPr fontId="2" type="noConversion"/>
  </si>
  <si>
    <t>學時</t>
    <phoneticPr fontId="2" type="noConversion"/>
  </si>
  <si>
    <t>理論</t>
    <phoneticPr fontId="2" type="noConversion"/>
  </si>
  <si>
    <t>實作</t>
    <phoneticPr fontId="2" type="noConversion"/>
  </si>
  <si>
    <t>實習</t>
    <phoneticPr fontId="2" type="noConversion"/>
  </si>
  <si>
    <t>課程名稱</t>
    <phoneticPr fontId="2" type="noConversion"/>
  </si>
  <si>
    <t>區分</t>
    <phoneticPr fontId="2" type="noConversion"/>
  </si>
  <si>
    <t>列標籤</t>
  </si>
  <si>
    <t>必</t>
  </si>
  <si>
    <t>選</t>
  </si>
  <si>
    <t>總計</t>
  </si>
  <si>
    <t>加總 - 理論</t>
  </si>
  <si>
    <t>加總 - 實作</t>
  </si>
  <si>
    <t>加總 - 實習</t>
  </si>
  <si>
    <t>14</t>
    <phoneticPr fontId="3" type="noConversion"/>
  </si>
  <si>
    <t>總計學分數</t>
    <phoneticPr fontId="3" type="noConversion"/>
  </si>
  <si>
    <t>合計(學分/學時數)</t>
    <phoneticPr fontId="2" type="noConversion"/>
  </si>
  <si>
    <t>2/2</t>
    <phoneticPr fontId="2" type="noConversion"/>
  </si>
  <si>
    <t>12/12</t>
    <phoneticPr fontId="2" type="noConversion"/>
  </si>
  <si>
    <t>9/27</t>
    <phoneticPr fontId="2" type="noConversion"/>
  </si>
  <si>
    <t>3/3</t>
    <phoneticPr fontId="2" type="noConversion"/>
  </si>
  <si>
    <t>0/0</t>
    <phoneticPr fontId="2" type="noConversion"/>
  </si>
  <si>
    <t>專業選修課程
(至少應修學分數/學時數)</t>
    <phoneticPr fontId="4" type="noConversion"/>
  </si>
  <si>
    <t>9/9</t>
    <phoneticPr fontId="3" type="noConversion"/>
  </si>
  <si>
    <t>至少應修學分數/學時數</t>
    <phoneticPr fontId="3" type="noConversion"/>
  </si>
  <si>
    <t>華語輔導</t>
    <phoneticPr fontId="3" type="noConversion"/>
  </si>
  <si>
    <t>華語(一)</t>
    <phoneticPr fontId="4" type="noConversion"/>
  </si>
  <si>
    <t>華語(二)</t>
    <phoneticPr fontId="4" type="noConversion"/>
  </si>
  <si>
    <t>華語證照輔導(一)</t>
    <phoneticPr fontId="2" type="noConversion"/>
  </si>
  <si>
    <t>華語證照輔導(二)</t>
    <phoneticPr fontId="2" type="noConversion"/>
  </si>
  <si>
    <t>華語證照輔導(三)</t>
    <phoneticPr fontId="2" type="noConversion"/>
  </si>
  <si>
    <t>通識課程</t>
    <phoneticPr fontId="2" type="noConversion"/>
  </si>
  <si>
    <t>通識</t>
    <phoneticPr fontId="4" type="noConversion"/>
  </si>
  <si>
    <t>2/2</t>
    <phoneticPr fontId="2" type="noConversion"/>
  </si>
  <si>
    <t>9/9</t>
    <phoneticPr fontId="2" type="noConversion"/>
  </si>
  <si>
    <r>
      <t>畢業應修</t>
    </r>
    <r>
      <rPr>
        <sz val="10"/>
        <color rgb="FFFF0000"/>
        <rFont val="新細明體"/>
        <family val="1"/>
        <charset val="136"/>
      </rPr>
      <t>128</t>
    </r>
    <r>
      <rPr>
        <sz val="10"/>
        <rFont val="新細明體"/>
        <family val="1"/>
        <charset val="136"/>
      </rPr>
      <t>學分=共同必修</t>
    </r>
    <r>
      <rPr>
        <b/>
        <sz val="10"/>
        <color rgb="FFFF0000"/>
        <rFont val="新細明體"/>
        <family val="1"/>
        <charset val="136"/>
      </rPr>
      <t>22</t>
    </r>
    <r>
      <rPr>
        <sz val="10"/>
        <rFont val="新細明體"/>
        <family val="1"/>
        <charset val="136"/>
      </rPr>
      <t>學分+通識課程</t>
    </r>
    <r>
      <rPr>
        <b/>
        <sz val="10"/>
        <color rgb="FFFF0000"/>
        <rFont val="新細明體"/>
        <family val="1"/>
        <charset val="136"/>
      </rPr>
      <t>4</t>
    </r>
    <r>
      <rPr>
        <sz val="10"/>
        <rFont val="新細明體"/>
        <family val="1"/>
        <charset val="136"/>
      </rPr>
      <t>學分+專業必修</t>
    </r>
    <r>
      <rPr>
        <b/>
        <sz val="10"/>
        <color rgb="FFFF0000"/>
        <rFont val="新細明體"/>
        <family val="1"/>
        <charset val="136"/>
      </rPr>
      <t>57</t>
    </r>
    <r>
      <rPr>
        <sz val="10"/>
        <rFont val="新細明體"/>
        <family val="1"/>
        <charset val="136"/>
      </rPr>
      <t>學分+專業選修</t>
    </r>
    <r>
      <rPr>
        <b/>
        <sz val="10"/>
        <color rgb="FFFF0000"/>
        <rFont val="新細明體"/>
        <family val="1"/>
        <charset val="136"/>
      </rPr>
      <t>45</t>
    </r>
    <r>
      <rPr>
        <sz val="10"/>
        <rFont val="新細明體"/>
        <family val="1"/>
        <charset val="136"/>
      </rPr>
      <t>學分。</t>
    </r>
    <phoneticPr fontId="4" type="noConversion"/>
  </si>
  <si>
    <t>10</t>
    <phoneticPr fontId="2" type="noConversion"/>
  </si>
  <si>
    <t>5</t>
    <phoneticPr fontId="2" type="noConversion"/>
  </si>
  <si>
    <t>2</t>
    <phoneticPr fontId="2" type="noConversion"/>
  </si>
  <si>
    <t>2</t>
    <phoneticPr fontId="2" type="noConversion"/>
  </si>
  <si>
    <t>1</t>
    <phoneticPr fontId="2" type="noConversion"/>
  </si>
  <si>
    <t>8/18</t>
    <phoneticPr fontId="2" type="noConversion"/>
  </si>
  <si>
    <t>10/10</t>
    <phoneticPr fontId="2" type="noConversion"/>
  </si>
  <si>
    <t>23</t>
    <phoneticPr fontId="3" type="noConversion"/>
  </si>
  <si>
    <t>25</t>
    <phoneticPr fontId="3" type="noConversion"/>
  </si>
  <si>
    <t>12</t>
    <phoneticPr fontId="3" type="noConversion"/>
  </si>
  <si>
    <t>虛擬化技術</t>
    <phoneticPr fontId="2" type="noConversion"/>
  </si>
  <si>
    <t>系統開發與設計</t>
    <phoneticPr fontId="4" type="noConversion"/>
  </si>
  <si>
    <t>機器學習資料解析與建模</t>
    <phoneticPr fontId="2" type="noConversion"/>
  </si>
  <si>
    <t>影像處理</t>
    <phoneticPr fontId="2" type="noConversion"/>
  </si>
  <si>
    <t>1141018-113學年度第1學期第4次校課程委員會通過
1140605-113學年度第2學期第4次校課程委員會修訂</t>
    <phoneticPr fontId="2" type="noConversion"/>
  </si>
  <si>
    <t>智慧製造與應用</t>
    <phoneticPr fontId="2" type="noConversion"/>
  </si>
  <si>
    <t>計算機概論
Introduction to Computer Science</t>
    <phoneticPr fontId="2" type="noConversion"/>
  </si>
  <si>
    <r>
      <rPr>
        <sz val="9"/>
        <color rgb="FF0000CC"/>
        <rFont val="新細明體"/>
        <family val="1"/>
        <charset val="136"/>
        <scheme val="minor"/>
      </rPr>
      <t>1131017-113學年度第1學期第2次系課程委員會通過</t>
    </r>
    <r>
      <rPr>
        <sz val="9"/>
        <rFont val="新細明體"/>
        <family val="1"/>
        <charset val="136"/>
        <scheme val="minor"/>
      </rPr>
      <t xml:space="preserve">
1131018-113學年度第1學期第4次校課程委員會通過
</t>
    </r>
    <r>
      <rPr>
        <sz val="9"/>
        <color rgb="FF0000CC"/>
        <rFont val="新細明體"/>
        <family val="1"/>
        <charset val="136"/>
        <scheme val="minor"/>
      </rPr>
      <t>1140604-113學年度第2學期第2次系課程委員會修訂</t>
    </r>
    <r>
      <rPr>
        <sz val="9"/>
        <rFont val="新細明體"/>
        <family val="1"/>
        <charset val="136"/>
        <scheme val="minor"/>
      </rPr>
      <t xml:space="preserve">
1140605-113學年度第2學期第4次校課程委員會修訂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</si>
</sst>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7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7"/>
      <name val="新細明體"/>
      <family val="1"/>
      <charset val="136"/>
    </font>
    <font>
      <sz val="7"/>
      <name val="新細明體"/>
      <family val="1"/>
      <charset val="136"/>
      <scheme val="minor"/>
    </font>
    <font>
      <b/>
      <sz val="14"/>
      <name val="Times New Roman"/>
      <family val="4"/>
      <charset val="136"/>
    </font>
    <font>
      <sz val="6"/>
      <color rgb="FFFF0000"/>
      <name val="新細明體"/>
      <family val="1"/>
      <charset val="136"/>
    </font>
    <font>
      <sz val="10"/>
      <color rgb="FFFF0000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sz val="12"/>
      <color rgb="FF0070C0"/>
      <name val="新細明體"/>
      <family val="2"/>
      <charset val="136"/>
      <scheme val="minor"/>
    </font>
    <font>
      <sz val="12"/>
      <color rgb="FF7030A0"/>
      <name val="新細明體"/>
      <family val="2"/>
      <charset val="136"/>
      <scheme val="minor"/>
    </font>
    <font>
      <sz val="9"/>
      <name val="微軟正黑體"/>
      <family val="2"/>
      <charset val="136"/>
    </font>
    <font>
      <b/>
      <sz val="13.5"/>
      <name val="標楷體"/>
      <family val="4"/>
      <charset val="136"/>
    </font>
    <font>
      <b/>
      <sz val="10"/>
      <color rgb="FF0000CC"/>
      <name val="新細明體"/>
      <family val="1"/>
      <charset val="136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sz val="10"/>
      <color rgb="FF0000CC"/>
      <name val="新細明體"/>
      <family val="2"/>
      <charset val="136"/>
      <scheme val="minor"/>
    </font>
    <font>
      <b/>
      <sz val="10"/>
      <name val="Arial"/>
      <family val="2"/>
    </font>
    <font>
      <sz val="8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strike/>
      <sz val="12"/>
      <color rgb="FF7030A0"/>
      <name val="新細明體"/>
      <family val="2"/>
      <charset val="136"/>
      <scheme val="minor"/>
    </font>
    <font>
      <sz val="9"/>
      <color rgb="FF0000CC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4" fillId="0" borderId="9" xfId="0" applyFont="1" applyBorder="1" applyAlignment="1">
      <alignment vertical="center" wrapText="1"/>
    </xf>
    <xf numFmtId="0" fontId="15" fillId="0" borderId="0" xfId="0" applyFont="1">
      <alignment vertical="center"/>
    </xf>
    <xf numFmtId="176" fontId="9" fillId="0" borderId="8" xfId="0" applyNumberFormat="1" applyFont="1" applyBorder="1" applyAlignment="1">
      <alignment horizontal="center" vertical="center"/>
    </xf>
    <xf numFmtId="0" fontId="4" fillId="0" borderId="8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wrapText="1"/>
    </xf>
    <xf numFmtId="0" fontId="4" fillId="0" borderId="8" xfId="0" applyFont="1" applyFill="1" applyBorder="1">
      <alignment vertical="center"/>
    </xf>
    <xf numFmtId="0" fontId="4" fillId="0" borderId="8" xfId="0" applyFont="1" applyBorder="1">
      <alignment vertical="center"/>
    </xf>
    <xf numFmtId="0" fontId="17" fillId="0" borderId="0" xfId="0" applyFo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/>
    </xf>
    <xf numFmtId="0" fontId="19" fillId="0" borderId="9" xfId="0" applyFont="1" applyFill="1" applyBorder="1">
      <alignment vertical="center"/>
    </xf>
    <xf numFmtId="0" fontId="16" fillId="0" borderId="0" xfId="0" applyFont="1" applyFill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wrapText="1"/>
    </xf>
    <xf numFmtId="0" fontId="10" fillId="3" borderId="0" xfId="0" applyFont="1" applyFill="1">
      <alignment vertical="center"/>
    </xf>
    <xf numFmtId="49" fontId="9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21" fillId="0" borderId="9" xfId="0" applyFont="1" applyBorder="1" applyAlignment="1">
      <alignment vertical="center" wrapText="1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49" fontId="9" fillId="0" borderId="8" xfId="0" applyNumberFormat="1" applyFont="1" applyFill="1" applyBorder="1" applyAlignment="1">
      <alignment horizontal="center" vertical="center"/>
    </xf>
    <xf numFmtId="49" fontId="9" fillId="3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textRotation="255" wrapText="1"/>
    </xf>
    <xf numFmtId="0" fontId="4" fillId="0" borderId="0" xfId="0" applyFont="1" applyFill="1" applyBorder="1" applyAlignment="1">
      <alignment vertical="center" wrapText="1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4" fillId="0" borderId="8" xfId="0" applyFont="1" applyFill="1" applyBorder="1" applyAlignment="1">
      <alignment vertical="center" shrinkToFit="1"/>
    </xf>
    <xf numFmtId="0" fontId="14" fillId="0" borderId="9" xfId="0" applyFont="1" applyBorder="1" applyAlignment="1">
      <alignment vertical="center" shrinkToFit="1"/>
    </xf>
    <xf numFmtId="0" fontId="4" fillId="0" borderId="8" xfId="0" applyFont="1" applyBorder="1" applyAlignment="1">
      <alignment horizontal="justify" vertical="center" wrapText="1"/>
    </xf>
    <xf numFmtId="0" fontId="4" fillId="0" borderId="7" xfId="0" applyFont="1" applyBorder="1" applyAlignment="1">
      <alignment vertical="center" textRotation="255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8" fillId="0" borderId="8" xfId="0" applyFont="1" applyBorder="1" applyAlignment="1">
      <alignment horizontal="center" vertical="center"/>
    </xf>
    <xf numFmtId="176" fontId="29" fillId="0" borderId="8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10" fillId="3" borderId="0" xfId="0" applyFont="1" applyFill="1" applyBorder="1">
      <alignment vertical="center"/>
    </xf>
    <xf numFmtId="0" fontId="17" fillId="3" borderId="0" xfId="0" applyFont="1" applyFill="1" applyBorder="1">
      <alignment vertical="center"/>
    </xf>
    <xf numFmtId="0" fontId="29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176" fontId="32" fillId="4" borderId="8" xfId="0" applyNumberFormat="1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33" fillId="0" borderId="9" xfId="0" applyFont="1" applyFill="1" applyBorder="1">
      <alignment vertical="center"/>
    </xf>
    <xf numFmtId="0" fontId="33" fillId="0" borderId="9" xfId="0" applyFont="1" applyBorder="1">
      <alignment vertical="center"/>
    </xf>
    <xf numFmtId="0" fontId="34" fillId="4" borderId="15" xfId="0" applyFont="1" applyFill="1" applyBorder="1" applyAlignment="1">
      <alignment horizontal="center" vertical="center"/>
    </xf>
    <xf numFmtId="0" fontId="32" fillId="4" borderId="15" xfId="0" applyFont="1" applyFill="1" applyBorder="1" applyAlignment="1">
      <alignment horizontal="center" vertical="center" wrapText="1"/>
    </xf>
    <xf numFmtId="0" fontId="12" fillId="4" borderId="16" xfId="0" applyFont="1" applyFill="1" applyBorder="1">
      <alignment vertical="center"/>
    </xf>
    <xf numFmtId="0" fontId="29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31" fillId="0" borderId="8" xfId="0" applyFont="1" applyBorder="1">
      <alignment vertical="center"/>
    </xf>
    <xf numFmtId="49" fontId="29" fillId="0" borderId="8" xfId="0" applyNumberFormat="1" applyFont="1" applyFill="1" applyBorder="1" applyAlignment="1">
      <alignment vertical="center"/>
    </xf>
    <xf numFmtId="0" fontId="29" fillId="0" borderId="8" xfId="0" applyFont="1" applyFill="1" applyBorder="1" applyAlignment="1">
      <alignment vertical="center"/>
    </xf>
    <xf numFmtId="0" fontId="29" fillId="0" borderId="8" xfId="0" applyFont="1" applyBorder="1" applyAlignment="1">
      <alignment vertical="center"/>
    </xf>
    <xf numFmtId="0" fontId="35" fillId="0" borderId="0" xfId="0" applyFont="1">
      <alignment vertical="center"/>
    </xf>
    <xf numFmtId="0" fontId="29" fillId="3" borderId="8" xfId="0" applyFont="1" applyFill="1" applyBorder="1" applyAlignment="1">
      <alignment horizontal="center" vertical="center" wrapText="1"/>
    </xf>
    <xf numFmtId="0" fontId="10" fillId="0" borderId="8" xfId="0" applyFont="1" applyBorder="1">
      <alignment vertical="center"/>
    </xf>
    <xf numFmtId="0" fontId="4" fillId="0" borderId="8" xfId="0" applyFont="1" applyFill="1" applyBorder="1" applyAlignment="1">
      <alignment horizontal="center" vertical="center"/>
    </xf>
    <xf numFmtId="49" fontId="32" fillId="4" borderId="15" xfId="0" applyNumberFormat="1" applyFont="1" applyFill="1" applyBorder="1" applyAlignment="1">
      <alignment horizontal="center" vertical="center"/>
    </xf>
    <xf numFmtId="0" fontId="32" fillId="4" borderId="15" xfId="0" applyFont="1" applyFill="1" applyBorder="1" applyAlignment="1">
      <alignment vertical="center"/>
    </xf>
    <xf numFmtId="0" fontId="32" fillId="4" borderId="15" xfId="0" applyFont="1" applyFill="1" applyBorder="1" applyAlignment="1">
      <alignment horizontal="center" vertical="center"/>
    </xf>
    <xf numFmtId="49" fontId="32" fillId="4" borderId="25" xfId="0" applyNumberFormat="1" applyFont="1" applyFill="1" applyBorder="1" applyAlignment="1">
      <alignment horizontal="center" vertical="center"/>
    </xf>
    <xf numFmtId="49" fontId="32" fillId="4" borderId="26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textRotation="255" wrapText="1"/>
    </xf>
    <xf numFmtId="0" fontId="13" fillId="0" borderId="19" xfId="0" applyFont="1" applyBorder="1" applyAlignment="1">
      <alignment horizontal="center" vertical="center" textRotation="255" wrapText="1"/>
    </xf>
    <xf numFmtId="0" fontId="4" fillId="0" borderId="8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32" fillId="0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49" fontId="32" fillId="4" borderId="8" xfId="0" applyNumberFormat="1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horizontal="center" vertical="center"/>
    </xf>
    <xf numFmtId="0" fontId="34" fillId="4" borderId="11" xfId="0" applyFont="1" applyFill="1" applyBorder="1" applyAlignment="1">
      <alignment horizontal="center" vertical="center"/>
    </xf>
    <xf numFmtId="49" fontId="29" fillId="0" borderId="23" xfId="0" applyNumberFormat="1" applyFont="1" applyFill="1" applyBorder="1" applyAlignment="1">
      <alignment horizontal="center" vertical="center"/>
    </xf>
    <xf numFmtId="49" fontId="29" fillId="0" borderId="24" xfId="0" applyNumberFormat="1" applyFont="1" applyFill="1" applyBorder="1" applyAlignment="1">
      <alignment horizontal="center" vertical="center"/>
    </xf>
    <xf numFmtId="49" fontId="29" fillId="0" borderId="23" xfId="0" applyNumberFormat="1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49" fontId="32" fillId="0" borderId="5" xfId="0" applyNumberFormat="1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5" xfId="0" applyFont="1" applyFill="1" applyBorder="1" applyAlignment="1">
      <alignment vertical="center"/>
    </xf>
    <xf numFmtId="0" fontId="16" fillId="0" borderId="2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textRotation="255"/>
    </xf>
    <xf numFmtId="0" fontId="10" fillId="0" borderId="20" xfId="0" applyFont="1" applyBorder="1" applyAlignment="1">
      <alignment horizontal="center" vertical="center" textRotation="255"/>
    </xf>
    <xf numFmtId="0" fontId="16" fillId="0" borderId="7" xfId="0" applyFont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center" vertical="center" textRotation="255"/>
    </xf>
    <xf numFmtId="49" fontId="29" fillId="0" borderId="27" xfId="0" applyNumberFormat="1" applyFont="1" applyFill="1" applyBorder="1" applyAlignment="1">
      <alignment horizontal="center" vertical="center"/>
    </xf>
    <xf numFmtId="49" fontId="29" fillId="0" borderId="28" xfId="0" applyNumberFormat="1" applyFont="1" applyFill="1" applyBorder="1" applyAlignment="1">
      <alignment horizontal="center" vertical="center"/>
    </xf>
    <xf numFmtId="49" fontId="30" fillId="0" borderId="27" xfId="0" applyNumberFormat="1" applyFont="1" applyBorder="1" applyAlignment="1">
      <alignment horizontal="center" vertical="center"/>
    </xf>
    <xf numFmtId="49" fontId="30" fillId="0" borderId="28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lin" refreshedDate="45501.487381481478" createdVersion="6" refreshedVersion="6" minRefreshableVersion="3" recordCount="61" xr:uid="{00000000-000A-0000-FFFF-FFFF00000000}">
  <cacheSource type="worksheet">
    <worksheetSource ref="A1:G62" sheet="課程結構分析"/>
  </cacheSource>
  <cacheFields count="7">
    <cacheField name="區分" numFmtId="0">
      <sharedItems count="2">
        <s v="必"/>
        <s v="選"/>
      </sharedItems>
    </cacheField>
    <cacheField name="課程名稱" numFmtId="0">
      <sharedItems/>
    </cacheField>
    <cacheField name="學分" numFmtId="0">
      <sharedItems containsSemiMixedTypes="0" containsString="0" containsNumber="1" containsInteger="1" minValue="2" maxValue="6"/>
    </cacheField>
    <cacheField name="學時" numFmtId="0">
      <sharedItems containsSemiMixedTypes="0" containsString="0" containsNumber="1" containsInteger="1" minValue="2" maxValue="24"/>
    </cacheField>
    <cacheField name="理論" numFmtId="0">
      <sharedItems containsString="0" containsBlank="1" containsNumber="1" containsInteger="1" minValue="2" maxValue="3" count="3">
        <n v="3"/>
        <m/>
        <n v="2"/>
      </sharedItems>
    </cacheField>
    <cacheField name="實作" numFmtId="0">
      <sharedItems containsString="0" containsBlank="1" containsNumber="1" containsInteger="1" minValue="2" maxValue="3"/>
    </cacheField>
    <cacheField name="實習" numFmtId="0">
      <sharedItems containsString="0" containsBlank="1" containsNumber="1" containsInteger="1" minValue="6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x v="0"/>
    <s v="計算機概論"/>
    <n v="3"/>
    <n v="3"/>
    <x v="0"/>
    <m/>
    <m/>
  </r>
  <r>
    <x v="0"/>
    <s v="通訊網路概論"/>
    <n v="3"/>
    <n v="3"/>
    <x v="0"/>
    <m/>
    <m/>
  </r>
  <r>
    <x v="0"/>
    <s v="機器學習概論"/>
    <n v="3"/>
    <n v="3"/>
    <x v="0"/>
    <m/>
    <m/>
  </r>
  <r>
    <x v="0"/>
    <s v="微積分"/>
    <n v="3"/>
    <n v="3"/>
    <x v="0"/>
    <m/>
    <m/>
  </r>
  <r>
    <x v="0"/>
    <s v="作業系統實務"/>
    <n v="3"/>
    <n v="3"/>
    <x v="1"/>
    <n v="3"/>
    <m/>
  </r>
  <r>
    <x v="0"/>
    <s v="程式語言設計"/>
    <n v="3"/>
    <n v="3"/>
    <x v="1"/>
    <n v="3"/>
    <m/>
  </r>
  <r>
    <x v="0"/>
    <s v="資料結構"/>
    <n v="3"/>
    <n v="3"/>
    <x v="0"/>
    <m/>
    <m/>
  </r>
  <r>
    <x v="0"/>
    <s v="無人機概論"/>
    <n v="3"/>
    <n v="3"/>
    <x v="0"/>
    <m/>
    <m/>
  </r>
  <r>
    <x v="0"/>
    <s v="Python程式設計"/>
    <n v="3"/>
    <n v="3"/>
    <x v="1"/>
    <n v="3"/>
    <m/>
  </r>
  <r>
    <x v="0"/>
    <s v="資料庫系統實務"/>
    <n v="3"/>
    <n v="3"/>
    <x v="1"/>
    <n v="3"/>
    <m/>
  </r>
  <r>
    <x v="0"/>
    <s v="機率與統計"/>
    <n v="3"/>
    <n v="3"/>
    <x v="0"/>
    <m/>
    <m/>
  </r>
  <r>
    <x v="0"/>
    <s v="資通系統專案管理"/>
    <n v="3"/>
    <n v="3"/>
    <x v="0"/>
    <m/>
    <m/>
  </r>
  <r>
    <x v="0"/>
    <s v="資通安全管理系統實務"/>
    <n v="3"/>
    <n v="3"/>
    <x v="1"/>
    <n v="3"/>
    <m/>
  </r>
  <r>
    <x v="0"/>
    <s v="校外實習(一)"/>
    <n v="6"/>
    <n v="24"/>
    <x v="1"/>
    <m/>
    <n v="6"/>
  </r>
  <r>
    <x v="0"/>
    <s v="校外實習(二)"/>
    <n v="6"/>
    <n v="24"/>
    <x v="1"/>
    <m/>
    <n v="6"/>
  </r>
  <r>
    <x v="0"/>
    <s v="校外實習(三)"/>
    <n v="6"/>
    <n v="24"/>
    <x v="1"/>
    <m/>
    <n v="6"/>
  </r>
  <r>
    <x v="1"/>
    <s v="管理資訊系統"/>
    <n v="3"/>
    <n v="3"/>
    <x v="0"/>
    <m/>
    <m/>
  </r>
  <r>
    <x v="1"/>
    <s v="職場倫理與工廠實務"/>
    <n v="3"/>
    <n v="3"/>
    <x v="0"/>
    <m/>
    <m/>
  </r>
  <r>
    <x v="1"/>
    <s v="Linux作業系統"/>
    <n v="3"/>
    <n v="3"/>
    <x v="1"/>
    <n v="3"/>
    <m/>
  </r>
  <r>
    <x v="1"/>
    <s v="生產管理實務"/>
    <n v="3"/>
    <n v="3"/>
    <x v="0"/>
    <m/>
    <m/>
  </r>
  <r>
    <x v="1"/>
    <s v="雲端應用實務"/>
    <n v="3"/>
    <n v="3"/>
    <x v="1"/>
    <n v="3"/>
    <m/>
  </r>
  <r>
    <x v="1"/>
    <s v="網頁程式設計"/>
    <n v="2"/>
    <n v="2"/>
    <x v="1"/>
    <n v="2"/>
    <m/>
  </r>
  <r>
    <x v="1"/>
    <s v="無人機操控實務"/>
    <n v="3"/>
    <n v="3"/>
    <x v="1"/>
    <n v="3"/>
    <m/>
  </r>
  <r>
    <x v="1"/>
    <s v="R程式語言"/>
    <n v="2"/>
    <n v="2"/>
    <x v="1"/>
    <n v="2"/>
    <m/>
  </r>
  <r>
    <x v="1"/>
    <s v="人工智慧與專家系統"/>
    <n v="3"/>
    <n v="3"/>
    <x v="0"/>
    <m/>
    <m/>
  </r>
  <r>
    <x v="1"/>
    <s v="電腦硬體裝修裝修實務"/>
    <n v="3"/>
    <n v="3"/>
    <x v="1"/>
    <n v="3"/>
    <m/>
  </r>
  <r>
    <x v="1"/>
    <s v="數位邏輯設計實務"/>
    <n v="2"/>
    <n v="2"/>
    <x v="1"/>
    <n v="2"/>
    <m/>
  </r>
  <r>
    <x v="1"/>
    <s v="數位信號處理"/>
    <n v="2"/>
    <n v="2"/>
    <x v="2"/>
    <m/>
    <m/>
  </r>
  <r>
    <x v="1"/>
    <s v="非關聯式資料庫"/>
    <n v="3"/>
    <n v="3"/>
    <x v="1"/>
    <n v="3"/>
    <m/>
  </r>
  <r>
    <x v="1"/>
    <s v="資料探勘"/>
    <n v="3"/>
    <n v="3"/>
    <x v="1"/>
    <n v="3"/>
    <m/>
  </r>
  <r>
    <x v="1"/>
    <s v="智慧機器人實務"/>
    <n v="2"/>
    <n v="2"/>
    <x v="1"/>
    <n v="2"/>
    <m/>
  </r>
  <r>
    <x v="1"/>
    <s v="物聯網系統與應用"/>
    <n v="3"/>
    <n v="3"/>
    <x v="0"/>
    <m/>
    <m/>
  </r>
  <r>
    <x v="1"/>
    <s v="系統分析與設計"/>
    <n v="3"/>
    <n v="3"/>
    <x v="1"/>
    <n v="3"/>
    <m/>
  </r>
  <r>
    <x v="1"/>
    <s v="雲端運算"/>
    <n v="3"/>
    <n v="3"/>
    <x v="0"/>
    <m/>
    <m/>
  </r>
  <r>
    <x v="1"/>
    <s v="電腦視覺"/>
    <n v="3"/>
    <n v="3"/>
    <x v="1"/>
    <n v="3"/>
    <m/>
  </r>
  <r>
    <x v="1"/>
    <s v="人工智慧與產業分析"/>
    <n v="2"/>
    <n v="2"/>
    <x v="2"/>
    <m/>
    <m/>
  </r>
  <r>
    <x v="1"/>
    <s v="地理資訊系統"/>
    <n v="3"/>
    <n v="3"/>
    <x v="0"/>
    <m/>
    <m/>
  </r>
  <r>
    <x v="1"/>
    <s v="資料導向程式設計"/>
    <n v="3"/>
    <n v="3"/>
    <x v="1"/>
    <n v="3"/>
    <m/>
  </r>
  <r>
    <x v="1"/>
    <s v="深度學習"/>
    <n v="2"/>
    <n v="2"/>
    <x v="1"/>
    <n v="3"/>
    <m/>
  </r>
  <r>
    <x v="1"/>
    <s v="感測控制與應用"/>
    <n v="3"/>
    <n v="3"/>
    <x v="1"/>
    <n v="3"/>
    <m/>
  </r>
  <r>
    <x v="1"/>
    <s v="電腦虛擬化"/>
    <n v="2"/>
    <n v="2"/>
    <x v="1"/>
    <n v="3"/>
    <m/>
  </r>
  <r>
    <x v="1"/>
    <s v="大數據分析"/>
    <n v="3"/>
    <n v="3"/>
    <x v="1"/>
    <n v="3"/>
    <m/>
  </r>
  <r>
    <x v="1"/>
    <s v="智慧製造"/>
    <n v="2"/>
    <n v="2"/>
    <x v="2"/>
    <m/>
    <m/>
  </r>
  <r>
    <x v="1"/>
    <s v="無人機空拍應用實務"/>
    <n v="3"/>
    <n v="3"/>
    <x v="1"/>
    <n v="3"/>
    <m/>
  </r>
  <r>
    <x v="1"/>
    <s v="資料視覺化"/>
    <n v="3"/>
    <n v="3"/>
    <x v="0"/>
    <m/>
    <m/>
  </r>
  <r>
    <x v="1"/>
    <s v="智慧機器人創新實務與競賽"/>
    <n v="3"/>
    <n v="3"/>
    <x v="1"/>
    <n v="3"/>
    <m/>
  </r>
  <r>
    <x v="1"/>
    <s v="網站建置實務"/>
    <n v="2"/>
    <n v="2"/>
    <x v="1"/>
    <n v="2"/>
    <m/>
  </r>
  <r>
    <x v="1"/>
    <s v="虛擬實境應用"/>
    <n v="2"/>
    <n v="2"/>
    <x v="2"/>
    <m/>
    <m/>
  </r>
  <r>
    <x v="1"/>
    <s v="深度學習"/>
    <n v="3"/>
    <n v="3"/>
    <x v="0"/>
    <m/>
    <m/>
  </r>
  <r>
    <x v="1"/>
    <s v="無人機程式設計"/>
    <n v="3"/>
    <n v="3"/>
    <x v="1"/>
    <n v="3"/>
    <m/>
  </r>
  <r>
    <x v="1"/>
    <s v="智慧應用實務"/>
    <n v="2"/>
    <n v="2"/>
    <x v="1"/>
    <n v="3"/>
    <m/>
  </r>
  <r>
    <x v="1"/>
    <s v="3D建模"/>
    <n v="2"/>
    <n v="2"/>
    <x v="1"/>
    <n v="3"/>
    <m/>
  </r>
  <r>
    <x v="1"/>
    <s v="網際網路服務與安全"/>
    <n v="3"/>
    <n v="3"/>
    <x v="0"/>
    <m/>
    <m/>
  </r>
  <r>
    <x v="1"/>
    <s v="決策支援與商業智慧"/>
    <n v="2"/>
    <n v="2"/>
    <x v="2"/>
    <m/>
    <m/>
  </r>
  <r>
    <x v="1"/>
    <s v="物流與供應鏈管理"/>
    <n v="2"/>
    <n v="2"/>
    <x v="2"/>
    <m/>
    <m/>
  </r>
  <r>
    <x v="1"/>
    <s v="工業物聯網安全管理實務"/>
    <n v="2"/>
    <n v="2"/>
    <x v="2"/>
    <m/>
    <m/>
  </r>
  <r>
    <x v="1"/>
    <s v="社群媒體行銷"/>
    <n v="2"/>
    <n v="2"/>
    <x v="1"/>
    <n v="2"/>
    <m/>
  </r>
  <r>
    <x v="1"/>
    <s v="APP規劃與設計"/>
    <n v="3"/>
    <n v="3"/>
    <x v="1"/>
    <n v="3"/>
    <m/>
  </r>
  <r>
    <x v="1"/>
    <s v="校外實習(四)"/>
    <n v="6"/>
    <n v="24"/>
    <x v="1"/>
    <m/>
    <n v="6"/>
  </r>
  <r>
    <x v="1"/>
    <s v="校外實習(五)"/>
    <n v="6"/>
    <n v="24"/>
    <x v="1"/>
    <m/>
    <n v="6"/>
  </r>
  <r>
    <x v="1"/>
    <s v="校外實習(六)"/>
    <n v="6"/>
    <n v="24"/>
    <x v="1"/>
    <m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樞紐分析表2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J1:M4" firstHeaderRow="0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4">
        <item x="2"/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加總 - 理論" fld="4" baseField="0" baseItem="0"/>
    <dataField name="加總 - 實作" fld="5" baseField="0" baseItem="0"/>
    <dataField name="加總 - 實習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3"/>
  <sheetViews>
    <sheetView tabSelected="1" zoomScale="127" zoomScaleNormal="127" zoomScaleSheetLayoutView="110" workbookViewId="0">
      <selection activeCell="W2" sqref="W2"/>
    </sheetView>
  </sheetViews>
  <sheetFormatPr defaultColWidth="9" defaultRowHeight="16.5"/>
  <cols>
    <col min="1" max="1" width="4.5" style="10" customWidth="1"/>
    <col min="2" max="2" width="20.625" style="10" bestFit="1" customWidth="1"/>
    <col min="3" max="4" width="4.625" style="10" customWidth="1"/>
    <col min="5" max="5" width="3.75" style="16" customWidth="1"/>
    <col min="6" max="6" width="3.625" style="16" customWidth="1"/>
    <col min="7" max="7" width="4.125" style="16" bestFit="1" customWidth="1"/>
    <col min="8" max="8" width="3.625" style="16" customWidth="1"/>
    <col min="9" max="9" width="3.625" style="35" customWidth="1"/>
    <col min="10" max="10" width="3.625" style="16" customWidth="1"/>
    <col min="11" max="11" width="3.625" style="35" customWidth="1"/>
    <col min="12" max="12" width="3.625" style="16" customWidth="1"/>
    <col min="13" max="13" width="3.625" style="35" customWidth="1"/>
    <col min="14" max="14" width="3.625" style="16" customWidth="1"/>
    <col min="15" max="15" width="3.625" style="35" customWidth="1"/>
    <col min="16" max="16" width="3.625" style="16" customWidth="1"/>
    <col min="17" max="17" width="3.625" style="35" customWidth="1"/>
    <col min="18" max="18" width="3.625" style="10" customWidth="1"/>
    <col min="19" max="19" width="3.625" style="35" customWidth="1"/>
    <col min="20" max="20" width="3.625" style="10" customWidth="1"/>
    <col min="21" max="21" width="12.375" style="10" customWidth="1"/>
    <col min="22" max="16384" width="9" style="10"/>
  </cols>
  <sheetData>
    <row r="1" spans="1:21" ht="47.25" customHeight="1" thickBot="1">
      <c r="A1" s="29" t="s">
        <v>86</v>
      </c>
      <c r="B1" s="29"/>
      <c r="C1" s="29"/>
      <c r="D1" s="29"/>
      <c r="E1" s="29"/>
      <c r="I1" s="39" t="s">
        <v>0</v>
      </c>
      <c r="J1" s="17"/>
      <c r="K1" s="123" t="s">
        <v>145</v>
      </c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2" spans="1:21" ht="24" customHeight="1">
      <c r="A2" s="132" t="s">
        <v>87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0"/>
      <c r="R2" s="100"/>
      <c r="S2" s="100"/>
      <c r="T2" s="100"/>
      <c r="U2" s="101"/>
    </row>
    <row r="3" spans="1:21" ht="16.5" customHeight="1">
      <c r="A3" s="133" t="s">
        <v>1</v>
      </c>
      <c r="B3" s="135" t="s">
        <v>2</v>
      </c>
      <c r="C3" s="136" t="s">
        <v>3</v>
      </c>
      <c r="D3" s="136" t="s">
        <v>4</v>
      </c>
      <c r="E3" s="135" t="s">
        <v>5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7" t="s">
        <v>6</v>
      </c>
    </row>
    <row r="4" spans="1:21" ht="16.5" customHeight="1">
      <c r="A4" s="134"/>
      <c r="B4" s="104"/>
      <c r="C4" s="104"/>
      <c r="D4" s="104"/>
      <c r="E4" s="97" t="s">
        <v>7</v>
      </c>
      <c r="F4" s="97"/>
      <c r="G4" s="97"/>
      <c r="H4" s="97"/>
      <c r="I4" s="97" t="s">
        <v>8</v>
      </c>
      <c r="J4" s="97"/>
      <c r="K4" s="97"/>
      <c r="L4" s="97"/>
      <c r="M4" s="97" t="s">
        <v>9</v>
      </c>
      <c r="N4" s="97"/>
      <c r="O4" s="97"/>
      <c r="P4" s="97"/>
      <c r="Q4" s="104" t="s">
        <v>10</v>
      </c>
      <c r="R4" s="104"/>
      <c r="S4" s="104"/>
      <c r="T4" s="104"/>
      <c r="U4" s="105"/>
    </row>
    <row r="5" spans="1:21" ht="16.5" customHeight="1">
      <c r="A5" s="134"/>
      <c r="B5" s="104"/>
      <c r="C5" s="104"/>
      <c r="D5" s="104"/>
      <c r="E5" s="97" t="s">
        <v>11</v>
      </c>
      <c r="F5" s="97"/>
      <c r="G5" s="97" t="s">
        <v>12</v>
      </c>
      <c r="H5" s="97"/>
      <c r="I5" s="97" t="s">
        <v>11</v>
      </c>
      <c r="J5" s="97"/>
      <c r="K5" s="97" t="s">
        <v>12</v>
      </c>
      <c r="L5" s="97"/>
      <c r="M5" s="97" t="s">
        <v>11</v>
      </c>
      <c r="N5" s="97"/>
      <c r="O5" s="97" t="s">
        <v>12</v>
      </c>
      <c r="P5" s="97"/>
      <c r="Q5" s="104" t="s">
        <v>11</v>
      </c>
      <c r="R5" s="104"/>
      <c r="S5" s="104" t="s">
        <v>12</v>
      </c>
      <c r="T5" s="104"/>
      <c r="U5" s="105"/>
    </row>
    <row r="6" spans="1:21" ht="16.5" customHeight="1">
      <c r="A6" s="134"/>
      <c r="B6" s="104"/>
      <c r="C6" s="104"/>
      <c r="D6" s="104"/>
      <c r="E6" s="31" t="s">
        <v>13</v>
      </c>
      <c r="F6" s="18" t="s">
        <v>14</v>
      </c>
      <c r="G6" s="31" t="s">
        <v>13</v>
      </c>
      <c r="H6" s="18" t="s">
        <v>14</v>
      </c>
      <c r="I6" s="31" t="s">
        <v>13</v>
      </c>
      <c r="J6" s="18" t="s">
        <v>14</v>
      </c>
      <c r="K6" s="31" t="s">
        <v>13</v>
      </c>
      <c r="L6" s="18" t="s">
        <v>14</v>
      </c>
      <c r="M6" s="31" t="s">
        <v>13</v>
      </c>
      <c r="N6" s="18" t="s">
        <v>14</v>
      </c>
      <c r="O6" s="31" t="s">
        <v>13</v>
      </c>
      <c r="P6" s="18" t="s">
        <v>14</v>
      </c>
      <c r="Q6" s="31" t="s">
        <v>13</v>
      </c>
      <c r="R6" s="9" t="s">
        <v>14</v>
      </c>
      <c r="S6" s="31" t="s">
        <v>13</v>
      </c>
      <c r="T6" s="9" t="s">
        <v>14</v>
      </c>
      <c r="U6" s="105"/>
    </row>
    <row r="7" spans="1:21">
      <c r="A7" s="127" t="s">
        <v>15</v>
      </c>
      <c r="B7" s="1" t="s">
        <v>118</v>
      </c>
      <c r="C7" s="2">
        <v>5</v>
      </c>
      <c r="D7" s="2">
        <v>10</v>
      </c>
      <c r="E7" s="42" t="s">
        <v>128</v>
      </c>
      <c r="F7" s="43"/>
      <c r="G7" s="42"/>
      <c r="H7" s="43"/>
      <c r="I7" s="42"/>
      <c r="J7" s="43"/>
      <c r="K7" s="42"/>
      <c r="L7" s="43"/>
      <c r="M7" s="42"/>
      <c r="N7" s="43"/>
      <c r="O7" s="42"/>
      <c r="P7" s="43"/>
      <c r="Q7" s="42"/>
      <c r="R7" s="44"/>
      <c r="S7" s="42"/>
      <c r="T7" s="44"/>
      <c r="U7" s="3"/>
    </row>
    <row r="8" spans="1:21">
      <c r="A8" s="127"/>
      <c r="B8" s="1" t="s">
        <v>119</v>
      </c>
      <c r="C8" s="2">
        <v>5</v>
      </c>
      <c r="D8" s="2">
        <v>5</v>
      </c>
      <c r="E8" s="42"/>
      <c r="F8" s="43"/>
      <c r="G8" s="42" t="s">
        <v>129</v>
      </c>
      <c r="H8" s="43"/>
      <c r="I8" s="42"/>
      <c r="J8" s="43"/>
      <c r="K8" s="42"/>
      <c r="L8" s="43"/>
      <c r="M8" s="42"/>
      <c r="N8" s="43"/>
      <c r="O8" s="42"/>
      <c r="P8" s="43"/>
      <c r="Q8" s="42"/>
      <c r="R8" s="44"/>
      <c r="S8" s="42"/>
      <c r="T8" s="44"/>
      <c r="U8" s="3"/>
    </row>
    <row r="9" spans="1:21">
      <c r="A9" s="127"/>
      <c r="B9" s="1" t="s">
        <v>117</v>
      </c>
      <c r="C9" s="2">
        <v>0</v>
      </c>
      <c r="D9" s="2">
        <v>5</v>
      </c>
      <c r="E9" s="42" t="s">
        <v>129</v>
      </c>
      <c r="F9" s="43"/>
      <c r="G9" s="42"/>
      <c r="H9" s="43"/>
      <c r="I9" s="42"/>
      <c r="J9" s="43"/>
      <c r="K9" s="42"/>
      <c r="L9" s="43"/>
      <c r="M9" s="42"/>
      <c r="N9" s="43"/>
      <c r="O9" s="42"/>
      <c r="P9" s="43"/>
      <c r="Q9" s="42"/>
      <c r="R9" s="44"/>
      <c r="S9" s="42"/>
      <c r="T9" s="44"/>
      <c r="U9" s="3"/>
    </row>
    <row r="10" spans="1:21">
      <c r="A10" s="127"/>
      <c r="B10" s="4" t="s">
        <v>120</v>
      </c>
      <c r="C10" s="5">
        <v>2</v>
      </c>
      <c r="D10" s="5">
        <v>2</v>
      </c>
      <c r="E10" s="36"/>
      <c r="F10" s="41"/>
      <c r="G10" s="42" t="s">
        <v>130</v>
      </c>
      <c r="H10" s="43"/>
      <c r="I10" s="42"/>
      <c r="J10" s="43"/>
      <c r="K10" s="42"/>
      <c r="L10" s="43"/>
      <c r="M10" s="42"/>
      <c r="N10" s="43"/>
      <c r="O10" s="42"/>
      <c r="P10" s="43"/>
      <c r="Q10" s="42"/>
      <c r="R10" s="44"/>
      <c r="S10" s="42"/>
      <c r="T10" s="44"/>
      <c r="U10" s="81" t="s">
        <v>35</v>
      </c>
    </row>
    <row r="11" spans="1:21">
      <c r="A11" s="127"/>
      <c r="B11" s="4" t="s">
        <v>121</v>
      </c>
      <c r="C11" s="5">
        <v>2</v>
      </c>
      <c r="D11" s="5">
        <v>2</v>
      </c>
      <c r="E11" s="36"/>
      <c r="F11" s="41"/>
      <c r="G11" s="42"/>
      <c r="H11" s="43"/>
      <c r="I11" s="42" t="s">
        <v>131</v>
      </c>
      <c r="J11" s="43"/>
      <c r="K11" s="42"/>
      <c r="L11" s="43"/>
      <c r="M11" s="42"/>
      <c r="N11" s="43"/>
      <c r="O11" s="42"/>
      <c r="P11" s="43"/>
      <c r="Q11" s="42"/>
      <c r="R11" s="44"/>
      <c r="S11" s="42"/>
      <c r="T11" s="44"/>
      <c r="U11" s="81" t="s">
        <v>35</v>
      </c>
    </row>
    <row r="12" spans="1:21">
      <c r="A12" s="127"/>
      <c r="B12" s="4" t="s">
        <v>122</v>
      </c>
      <c r="C12" s="5">
        <v>2</v>
      </c>
      <c r="D12" s="5">
        <v>2</v>
      </c>
      <c r="E12" s="36"/>
      <c r="F12" s="41"/>
      <c r="G12" s="42"/>
      <c r="H12" s="43"/>
      <c r="I12" s="42"/>
      <c r="J12" s="43"/>
      <c r="K12" s="42" t="s">
        <v>131</v>
      </c>
      <c r="L12" s="43"/>
      <c r="M12" s="42"/>
      <c r="N12" s="43"/>
      <c r="O12" s="42"/>
      <c r="P12" s="43"/>
      <c r="Q12" s="42"/>
      <c r="R12" s="44"/>
      <c r="S12" s="42"/>
      <c r="T12" s="44"/>
      <c r="U12" s="81" t="s">
        <v>35</v>
      </c>
    </row>
    <row r="13" spans="1:21">
      <c r="A13" s="127"/>
      <c r="B13" s="7" t="s">
        <v>78</v>
      </c>
      <c r="C13" s="6">
        <v>4</v>
      </c>
      <c r="D13" s="6">
        <v>4</v>
      </c>
      <c r="E13" s="42" t="s">
        <v>130</v>
      </c>
      <c r="F13" s="43"/>
      <c r="G13" s="42" t="s">
        <v>130</v>
      </c>
      <c r="H13" s="43"/>
      <c r="I13" s="42"/>
      <c r="J13" s="43"/>
      <c r="K13" s="42"/>
      <c r="L13" s="43"/>
      <c r="M13" s="42"/>
      <c r="N13" s="43"/>
      <c r="O13" s="42"/>
      <c r="P13" s="43"/>
      <c r="Q13" s="32"/>
      <c r="R13" s="6"/>
      <c r="S13" s="32"/>
      <c r="T13" s="6"/>
      <c r="U13" s="81"/>
    </row>
    <row r="14" spans="1:21">
      <c r="A14" s="127"/>
      <c r="B14" s="4" t="s">
        <v>33</v>
      </c>
      <c r="C14" s="13">
        <v>2</v>
      </c>
      <c r="D14" s="13">
        <v>2</v>
      </c>
      <c r="E14" s="42" t="s">
        <v>132</v>
      </c>
      <c r="F14" s="43"/>
      <c r="G14" s="42" t="s">
        <v>132</v>
      </c>
      <c r="H14" s="43"/>
      <c r="I14" s="42"/>
      <c r="J14" s="43"/>
      <c r="K14" s="42"/>
      <c r="L14" s="43"/>
      <c r="M14" s="42"/>
      <c r="N14" s="43"/>
      <c r="O14" s="42"/>
      <c r="P14" s="43"/>
      <c r="Q14" s="32"/>
      <c r="R14" s="6"/>
      <c r="S14" s="32"/>
      <c r="T14" s="6"/>
      <c r="U14" s="81"/>
    </row>
    <row r="15" spans="1:21" ht="26.25" customHeight="1">
      <c r="A15" s="127"/>
      <c r="B15" s="63" t="s">
        <v>108</v>
      </c>
      <c r="C15" s="64">
        <v>22</v>
      </c>
      <c r="D15" s="64">
        <f>SUM(D7:D14)</f>
        <v>32</v>
      </c>
      <c r="E15" s="128" t="s">
        <v>133</v>
      </c>
      <c r="F15" s="129"/>
      <c r="G15" s="128" t="s">
        <v>134</v>
      </c>
      <c r="H15" s="129"/>
      <c r="I15" s="128" t="s">
        <v>109</v>
      </c>
      <c r="J15" s="129"/>
      <c r="K15" s="128" t="s">
        <v>109</v>
      </c>
      <c r="L15" s="129"/>
      <c r="M15" s="128"/>
      <c r="N15" s="129"/>
      <c r="O15" s="128"/>
      <c r="P15" s="129"/>
      <c r="Q15" s="130"/>
      <c r="R15" s="131"/>
      <c r="S15" s="130"/>
      <c r="T15" s="131"/>
      <c r="U15" s="82"/>
    </row>
    <row r="16" spans="1:21" ht="18" customHeight="1">
      <c r="A16" s="124" t="s">
        <v>124</v>
      </c>
      <c r="B16" s="4" t="s">
        <v>123</v>
      </c>
      <c r="C16" s="13">
        <v>4</v>
      </c>
      <c r="D16" s="13">
        <v>4</v>
      </c>
      <c r="E16" s="13"/>
      <c r="F16" s="13"/>
      <c r="G16" s="13"/>
      <c r="H16" s="13"/>
      <c r="I16" s="13"/>
      <c r="J16" s="13"/>
      <c r="K16" s="13"/>
      <c r="L16" s="13"/>
      <c r="M16" s="32">
        <v>2</v>
      </c>
      <c r="N16" s="13"/>
      <c r="O16" s="32">
        <v>2</v>
      </c>
      <c r="P16" s="13"/>
      <c r="Q16" s="32"/>
      <c r="S16" s="32"/>
      <c r="T16" s="13"/>
      <c r="U16" s="13"/>
    </row>
    <row r="17" spans="1:21" ht="16.5" customHeight="1">
      <c r="A17" s="126"/>
      <c r="B17" s="63" t="s">
        <v>108</v>
      </c>
      <c r="C17" s="65">
        <v>4</v>
      </c>
      <c r="D17" s="65">
        <v>4</v>
      </c>
      <c r="E17" s="83"/>
      <c r="F17" s="84"/>
      <c r="G17" s="83"/>
      <c r="H17" s="84"/>
      <c r="I17" s="83"/>
      <c r="J17" s="84"/>
      <c r="K17" s="83"/>
      <c r="L17" s="84"/>
      <c r="M17" s="87" t="s">
        <v>125</v>
      </c>
      <c r="N17" s="80"/>
      <c r="O17" s="87" t="s">
        <v>125</v>
      </c>
      <c r="P17" s="84"/>
      <c r="Q17" s="32"/>
      <c r="S17" s="32"/>
      <c r="T17" s="85"/>
      <c r="U17" s="57"/>
    </row>
    <row r="18" spans="1:21" s="24" customFormat="1" ht="22.5">
      <c r="A18" s="124" t="s">
        <v>16</v>
      </c>
      <c r="B18" s="7" t="s">
        <v>144</v>
      </c>
      <c r="C18" s="6">
        <v>3</v>
      </c>
      <c r="D18" s="6">
        <v>3</v>
      </c>
      <c r="E18" s="32">
        <v>3</v>
      </c>
      <c r="F18" s="15"/>
      <c r="G18" s="32"/>
      <c r="H18" s="15"/>
      <c r="I18" s="32"/>
      <c r="J18" s="15"/>
      <c r="K18" s="32"/>
      <c r="L18" s="15"/>
      <c r="M18" s="32"/>
      <c r="N18" s="15"/>
      <c r="O18" s="32"/>
      <c r="P18" s="15"/>
      <c r="Q18" s="32"/>
      <c r="R18" s="6"/>
      <c r="S18" s="32"/>
      <c r="T18" s="6"/>
      <c r="U18" s="74" t="s">
        <v>35</v>
      </c>
    </row>
    <row r="19" spans="1:21" ht="18" customHeight="1">
      <c r="A19" s="124"/>
      <c r="B19" s="7" t="s">
        <v>76</v>
      </c>
      <c r="C19" s="6">
        <v>3</v>
      </c>
      <c r="D19" s="6">
        <v>3</v>
      </c>
      <c r="E19" s="32">
        <v>3</v>
      </c>
      <c r="F19" s="15"/>
      <c r="G19" s="32"/>
      <c r="H19" s="15"/>
      <c r="I19" s="32" t="s">
        <v>18</v>
      </c>
      <c r="J19" s="15"/>
      <c r="K19" s="32"/>
      <c r="L19" s="15"/>
      <c r="M19" s="32"/>
      <c r="N19" s="15"/>
      <c r="O19" s="32"/>
      <c r="P19" s="15"/>
      <c r="Q19" s="32"/>
      <c r="R19" s="6"/>
      <c r="S19" s="32"/>
      <c r="T19" s="6"/>
      <c r="U19" s="75" t="s">
        <v>35</v>
      </c>
    </row>
    <row r="20" spans="1:21">
      <c r="A20" s="124"/>
      <c r="B20" s="7" t="s">
        <v>20</v>
      </c>
      <c r="C20" s="6">
        <v>3</v>
      </c>
      <c r="D20" s="6">
        <v>3</v>
      </c>
      <c r="E20" s="32">
        <v>3</v>
      </c>
      <c r="F20" s="89"/>
      <c r="G20" s="32"/>
      <c r="H20" s="89"/>
      <c r="I20" s="31"/>
      <c r="J20" s="89"/>
      <c r="K20" s="31"/>
      <c r="L20" s="89"/>
      <c r="M20" s="31"/>
      <c r="N20" s="15"/>
      <c r="O20" s="32"/>
      <c r="P20" s="15"/>
      <c r="Q20" s="32"/>
      <c r="R20" s="6"/>
      <c r="S20" s="32"/>
      <c r="T20" s="6"/>
      <c r="U20" s="75" t="s">
        <v>35</v>
      </c>
    </row>
    <row r="21" spans="1:21">
      <c r="A21" s="124"/>
      <c r="B21" s="51" t="s">
        <v>52</v>
      </c>
      <c r="C21" s="6">
        <v>3</v>
      </c>
      <c r="D21" s="6">
        <v>3</v>
      </c>
      <c r="E21" s="32">
        <v>3</v>
      </c>
      <c r="F21" s="15"/>
      <c r="G21" s="32"/>
      <c r="H21" s="15"/>
      <c r="I21" s="32"/>
      <c r="J21" s="15"/>
      <c r="K21" s="32"/>
      <c r="L21" s="15"/>
      <c r="M21" s="32"/>
      <c r="N21" s="15"/>
      <c r="O21" s="32"/>
      <c r="P21" s="15"/>
      <c r="Q21" s="33"/>
      <c r="R21" s="8"/>
      <c r="S21" s="33"/>
      <c r="T21" s="8"/>
      <c r="U21" s="75" t="s">
        <v>35</v>
      </c>
    </row>
    <row r="22" spans="1:21">
      <c r="A22" s="124"/>
      <c r="B22" s="4" t="s">
        <v>70</v>
      </c>
      <c r="C22" s="6">
        <v>3</v>
      </c>
      <c r="D22" s="6">
        <v>3</v>
      </c>
      <c r="E22" s="31"/>
      <c r="F22" s="89"/>
      <c r="G22" s="32">
        <v>3</v>
      </c>
      <c r="H22" s="15"/>
      <c r="I22" s="32"/>
      <c r="J22" s="15"/>
      <c r="K22" s="32"/>
      <c r="L22" s="15"/>
      <c r="M22" s="32"/>
      <c r="N22" s="15"/>
      <c r="O22" s="32"/>
      <c r="P22" s="15"/>
      <c r="Q22" s="33"/>
      <c r="R22" s="8"/>
      <c r="S22" s="33"/>
      <c r="T22" s="8"/>
      <c r="U22" s="75" t="s">
        <v>35</v>
      </c>
    </row>
    <row r="23" spans="1:21">
      <c r="A23" s="124"/>
      <c r="B23" s="46" t="s">
        <v>81</v>
      </c>
      <c r="C23" s="6">
        <v>3</v>
      </c>
      <c r="D23" s="6">
        <v>3</v>
      </c>
      <c r="E23" s="32"/>
      <c r="G23" s="32">
        <v>3</v>
      </c>
      <c r="H23" s="15"/>
      <c r="I23" s="32"/>
      <c r="J23" s="15"/>
      <c r="K23" s="32"/>
      <c r="L23" s="15"/>
      <c r="M23" s="32"/>
      <c r="N23" s="15"/>
      <c r="O23" s="32"/>
      <c r="P23" s="15"/>
      <c r="Q23" s="32"/>
      <c r="R23" s="6"/>
      <c r="S23" s="32"/>
      <c r="T23" s="6"/>
      <c r="U23" s="74" t="s">
        <v>77</v>
      </c>
    </row>
    <row r="24" spans="1:21">
      <c r="A24" s="124"/>
      <c r="B24" s="7" t="s">
        <v>40</v>
      </c>
      <c r="C24" s="6">
        <v>3</v>
      </c>
      <c r="D24" s="6">
        <v>3</v>
      </c>
      <c r="E24" s="32"/>
      <c r="F24" s="15"/>
      <c r="G24" s="32">
        <v>3</v>
      </c>
      <c r="H24" s="15"/>
      <c r="I24" s="32"/>
      <c r="J24" s="15"/>
      <c r="K24" s="32"/>
      <c r="L24" s="15"/>
      <c r="M24" s="32"/>
      <c r="N24" s="15"/>
      <c r="O24" s="32"/>
      <c r="P24" s="15"/>
      <c r="Q24" s="32"/>
      <c r="R24" s="6"/>
      <c r="S24" s="32"/>
      <c r="T24" s="6"/>
      <c r="U24" s="74" t="s">
        <v>77</v>
      </c>
    </row>
    <row r="25" spans="1:21">
      <c r="A25" s="124"/>
      <c r="B25" s="7" t="s">
        <v>39</v>
      </c>
      <c r="C25" s="6">
        <v>3</v>
      </c>
      <c r="D25" s="6">
        <v>3</v>
      </c>
      <c r="E25" s="67"/>
      <c r="F25" s="20"/>
      <c r="G25" s="32">
        <v>3</v>
      </c>
      <c r="H25" s="22"/>
      <c r="I25" s="66"/>
      <c r="J25" s="22"/>
      <c r="K25" s="37"/>
      <c r="L25" s="22"/>
      <c r="M25" s="37"/>
      <c r="N25" s="22"/>
      <c r="O25" s="37"/>
      <c r="P25" s="22"/>
      <c r="Q25" s="37"/>
      <c r="R25" s="23"/>
      <c r="S25" s="37"/>
      <c r="T25" s="23"/>
      <c r="U25" s="74" t="s">
        <v>35</v>
      </c>
    </row>
    <row r="26" spans="1:21">
      <c r="A26" s="124"/>
      <c r="B26" s="7" t="s">
        <v>37</v>
      </c>
      <c r="C26" s="6">
        <v>3</v>
      </c>
      <c r="D26" s="6">
        <v>3</v>
      </c>
      <c r="E26" s="31"/>
      <c r="F26" s="55"/>
      <c r="G26" s="31"/>
      <c r="H26" s="55"/>
      <c r="I26" s="32">
        <v>3</v>
      </c>
      <c r="J26" s="55"/>
      <c r="K26" s="31"/>
      <c r="L26" s="55"/>
      <c r="M26" s="31"/>
      <c r="N26" s="15"/>
      <c r="O26" s="32"/>
      <c r="P26" s="15"/>
      <c r="Q26" s="32"/>
      <c r="R26" s="6"/>
      <c r="S26" s="32"/>
      <c r="T26" s="6"/>
      <c r="U26" s="74" t="s">
        <v>77</v>
      </c>
    </row>
    <row r="27" spans="1:21">
      <c r="A27" s="124"/>
      <c r="B27" s="7" t="s">
        <v>38</v>
      </c>
      <c r="C27" s="6">
        <v>3</v>
      </c>
      <c r="D27" s="6">
        <v>3</v>
      </c>
      <c r="E27" s="31"/>
      <c r="F27" s="55"/>
      <c r="G27" s="31"/>
      <c r="H27" s="55"/>
      <c r="I27" s="66"/>
      <c r="J27" s="55"/>
      <c r="K27" s="32">
        <v>3</v>
      </c>
      <c r="L27" s="55"/>
      <c r="M27" s="31"/>
      <c r="N27" s="55"/>
      <c r="O27" s="31"/>
      <c r="P27" s="55"/>
      <c r="Q27" s="31"/>
      <c r="R27" s="56"/>
      <c r="S27" s="31"/>
      <c r="T27" s="56"/>
      <c r="U27" s="74" t="s">
        <v>77</v>
      </c>
    </row>
    <row r="28" spans="1:21">
      <c r="A28" s="124"/>
      <c r="B28" s="7" t="s">
        <v>60</v>
      </c>
      <c r="C28" s="6">
        <v>3</v>
      </c>
      <c r="D28" s="6">
        <v>3</v>
      </c>
      <c r="E28" s="32"/>
      <c r="F28" s="15"/>
      <c r="G28" s="32"/>
      <c r="H28" s="15"/>
      <c r="I28" s="32"/>
      <c r="J28" s="15"/>
      <c r="K28" s="66"/>
      <c r="L28" s="15"/>
      <c r="M28" s="32">
        <v>3</v>
      </c>
      <c r="N28" s="15"/>
      <c r="O28" s="32"/>
      <c r="P28" s="15"/>
      <c r="Q28" s="32"/>
      <c r="R28" s="6"/>
      <c r="S28" s="32"/>
      <c r="T28" s="6"/>
      <c r="U28" s="75" t="s">
        <v>35</v>
      </c>
    </row>
    <row r="29" spans="1:21">
      <c r="A29" s="124"/>
      <c r="B29" s="7" t="s">
        <v>59</v>
      </c>
      <c r="C29" s="6">
        <v>3</v>
      </c>
      <c r="D29" s="6">
        <v>3</v>
      </c>
      <c r="E29" s="32"/>
      <c r="F29" s="15"/>
      <c r="G29" s="32"/>
      <c r="H29" s="15"/>
      <c r="I29" s="32"/>
      <c r="J29" s="15"/>
      <c r="K29" s="32"/>
      <c r="L29" s="15"/>
      <c r="M29" s="31"/>
      <c r="N29" s="15"/>
      <c r="O29" s="32">
        <v>3</v>
      </c>
      <c r="P29" s="15"/>
      <c r="Q29" s="32"/>
      <c r="R29" s="6"/>
      <c r="S29" s="32"/>
      <c r="T29" s="6"/>
      <c r="U29" s="11"/>
    </row>
    <row r="30" spans="1:21">
      <c r="A30" s="124"/>
      <c r="B30" s="7" t="s">
        <v>65</v>
      </c>
      <c r="C30" s="6">
        <v>3</v>
      </c>
      <c r="D30" s="6">
        <v>3</v>
      </c>
      <c r="E30" s="32"/>
      <c r="F30" s="15"/>
      <c r="G30" s="32"/>
      <c r="H30" s="15"/>
      <c r="I30" s="32"/>
      <c r="J30" s="15"/>
      <c r="K30" s="32"/>
      <c r="L30" s="15"/>
      <c r="M30" s="32"/>
      <c r="N30" s="15"/>
      <c r="O30" s="31"/>
      <c r="P30" s="15"/>
      <c r="Q30" s="32">
        <v>3</v>
      </c>
      <c r="R30" s="6"/>
      <c r="S30" s="32"/>
      <c r="T30" s="6"/>
      <c r="U30" s="11"/>
    </row>
    <row r="31" spans="1:21">
      <c r="A31" s="124"/>
      <c r="B31" s="7" t="s">
        <v>27</v>
      </c>
      <c r="C31" s="6">
        <v>6</v>
      </c>
      <c r="D31" s="6">
        <v>24</v>
      </c>
      <c r="E31" s="32"/>
      <c r="F31" s="15"/>
      <c r="G31" s="32"/>
      <c r="H31" s="15"/>
      <c r="I31" s="32"/>
      <c r="J31" s="15">
        <v>24</v>
      </c>
      <c r="K31" s="32"/>
      <c r="L31" s="15"/>
      <c r="M31" s="32"/>
      <c r="N31" s="15"/>
      <c r="O31" s="31"/>
      <c r="P31" s="15"/>
      <c r="Q31" s="32"/>
      <c r="R31" s="6"/>
      <c r="S31" s="32"/>
      <c r="T31" s="6"/>
      <c r="U31" s="26"/>
    </row>
    <row r="32" spans="1:21">
      <c r="A32" s="124"/>
      <c r="B32" s="7" t="s">
        <v>28</v>
      </c>
      <c r="C32" s="6">
        <v>6</v>
      </c>
      <c r="D32" s="6">
        <v>24</v>
      </c>
      <c r="E32" s="33"/>
      <c r="F32" s="19"/>
      <c r="G32" s="33"/>
      <c r="H32" s="19"/>
      <c r="I32" s="33"/>
      <c r="J32" s="19"/>
      <c r="K32" s="32"/>
      <c r="L32" s="15">
        <v>24</v>
      </c>
      <c r="M32" s="33"/>
      <c r="N32" s="19"/>
      <c r="O32" s="33"/>
      <c r="P32" s="15"/>
      <c r="Q32" s="32"/>
      <c r="R32" s="6"/>
      <c r="S32" s="32"/>
      <c r="T32" s="6"/>
      <c r="U32" s="11"/>
    </row>
    <row r="33" spans="1:21">
      <c r="A33" s="124"/>
      <c r="B33" s="7" t="s">
        <v>29</v>
      </c>
      <c r="C33" s="6">
        <v>6</v>
      </c>
      <c r="D33" s="6">
        <v>24</v>
      </c>
      <c r="E33" s="31"/>
      <c r="F33" s="55"/>
      <c r="G33" s="31"/>
      <c r="H33" s="55"/>
      <c r="I33" s="31"/>
      <c r="J33" s="55"/>
      <c r="K33" s="31"/>
      <c r="L33" s="55"/>
      <c r="M33" s="32"/>
      <c r="N33" s="15">
        <v>24</v>
      </c>
      <c r="O33" s="32"/>
      <c r="P33" s="15"/>
      <c r="Q33" s="32"/>
      <c r="R33" s="6"/>
      <c r="S33" s="32"/>
      <c r="T33" s="6"/>
      <c r="U33" s="38"/>
    </row>
    <row r="34" spans="1:21" ht="17.25" thickBot="1">
      <c r="A34" s="125"/>
      <c r="B34" s="63" t="s">
        <v>108</v>
      </c>
      <c r="C34" s="68">
        <f>SUM(C18:C33)</f>
        <v>57</v>
      </c>
      <c r="D34" s="68">
        <f>SUM(D18:D33)</f>
        <v>111</v>
      </c>
      <c r="E34" s="116" t="s">
        <v>110</v>
      </c>
      <c r="F34" s="117"/>
      <c r="G34" s="116" t="s">
        <v>110</v>
      </c>
      <c r="H34" s="117"/>
      <c r="I34" s="116" t="s">
        <v>111</v>
      </c>
      <c r="J34" s="117"/>
      <c r="K34" s="116" t="s">
        <v>111</v>
      </c>
      <c r="L34" s="117"/>
      <c r="M34" s="116" t="s">
        <v>111</v>
      </c>
      <c r="N34" s="117"/>
      <c r="O34" s="116" t="s">
        <v>112</v>
      </c>
      <c r="P34" s="117"/>
      <c r="Q34" s="116" t="s">
        <v>112</v>
      </c>
      <c r="R34" s="117"/>
      <c r="S34" s="118" t="s">
        <v>113</v>
      </c>
      <c r="T34" s="119"/>
      <c r="U34" s="69"/>
    </row>
    <row r="35" spans="1:21" ht="26.25" customHeight="1" thickTop="1">
      <c r="A35" s="107" t="s">
        <v>114</v>
      </c>
      <c r="B35" s="108"/>
      <c r="C35" s="71">
        <v>45</v>
      </c>
      <c r="D35" s="71" t="s">
        <v>79</v>
      </c>
      <c r="E35" s="109" t="s">
        <v>80</v>
      </c>
      <c r="F35" s="109"/>
      <c r="G35" s="109" t="s">
        <v>80</v>
      </c>
      <c r="H35" s="109"/>
      <c r="I35" s="109" t="s">
        <v>80</v>
      </c>
      <c r="J35" s="109"/>
      <c r="K35" s="109" t="s">
        <v>80</v>
      </c>
      <c r="L35" s="109"/>
      <c r="M35" s="109" t="s">
        <v>80</v>
      </c>
      <c r="N35" s="109"/>
      <c r="O35" s="109" t="s">
        <v>115</v>
      </c>
      <c r="P35" s="122"/>
      <c r="Q35" s="120" t="s">
        <v>126</v>
      </c>
      <c r="R35" s="121"/>
      <c r="S35" s="120" t="s">
        <v>110</v>
      </c>
      <c r="T35" s="121"/>
      <c r="U35" s="58"/>
    </row>
    <row r="36" spans="1:21" ht="17.25" customHeight="1" thickBot="1">
      <c r="A36" s="114" t="s">
        <v>107</v>
      </c>
      <c r="B36" s="115"/>
      <c r="C36" s="72">
        <f>C35+C34+C17+C15</f>
        <v>128</v>
      </c>
      <c r="D36" s="73" t="s">
        <v>79</v>
      </c>
      <c r="E36" s="113" t="s">
        <v>135</v>
      </c>
      <c r="F36" s="113"/>
      <c r="G36" s="113" t="s">
        <v>136</v>
      </c>
      <c r="H36" s="113"/>
      <c r="I36" s="113" t="s">
        <v>106</v>
      </c>
      <c r="J36" s="113"/>
      <c r="K36" s="113" t="s">
        <v>106</v>
      </c>
      <c r="L36" s="113"/>
      <c r="M36" s="113" t="s">
        <v>106</v>
      </c>
      <c r="N36" s="113"/>
      <c r="O36" s="113" t="s">
        <v>106</v>
      </c>
      <c r="P36" s="113"/>
      <c r="Q36" s="113" t="s">
        <v>137</v>
      </c>
      <c r="R36" s="113"/>
      <c r="S36" s="113" t="s">
        <v>137</v>
      </c>
      <c r="T36" s="113"/>
      <c r="U36" s="70"/>
    </row>
    <row r="37" spans="1:21" ht="21.75" customHeight="1" thickBot="1">
      <c r="A37" s="110" t="s">
        <v>127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2"/>
    </row>
    <row r="38" spans="1:21">
      <c r="A38" s="40"/>
      <c r="B38" s="16"/>
      <c r="C38" s="16"/>
      <c r="D38" s="16"/>
      <c r="I38" s="16"/>
      <c r="K38" s="16"/>
      <c r="M38" s="16"/>
      <c r="O38" s="16"/>
      <c r="Q38" s="16"/>
      <c r="R38" s="16"/>
      <c r="S38" s="16"/>
      <c r="T38" s="16"/>
      <c r="U38" s="16"/>
    </row>
    <row r="39" spans="1:21" ht="31.5" customHeight="1" thickBot="1">
      <c r="A39" s="29" t="s">
        <v>86</v>
      </c>
      <c r="B39" s="29"/>
      <c r="C39" s="29"/>
      <c r="D39" s="29"/>
      <c r="E39" s="29"/>
      <c r="I39" s="39" t="s">
        <v>0</v>
      </c>
      <c r="J39" s="17"/>
      <c r="K39" s="123" t="s">
        <v>142</v>
      </c>
      <c r="L39" s="123"/>
      <c r="M39" s="123"/>
      <c r="N39" s="123"/>
      <c r="O39" s="123"/>
      <c r="P39" s="123"/>
      <c r="Q39" s="123"/>
      <c r="R39" s="123"/>
      <c r="S39" s="123"/>
      <c r="T39" s="123"/>
      <c r="U39" s="123"/>
    </row>
    <row r="40" spans="1:21" ht="22.5" customHeight="1">
      <c r="A40" s="98" t="s">
        <v>89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100"/>
      <c r="R40" s="100"/>
      <c r="S40" s="100"/>
      <c r="T40" s="100"/>
      <c r="U40" s="101"/>
    </row>
    <row r="41" spans="1:21">
      <c r="A41" s="102" t="s">
        <v>1</v>
      </c>
      <c r="B41" s="103" t="s">
        <v>2</v>
      </c>
      <c r="C41" s="103" t="s">
        <v>3</v>
      </c>
      <c r="D41" s="103" t="s">
        <v>4</v>
      </c>
      <c r="E41" s="104" t="s">
        <v>5</v>
      </c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5" t="s">
        <v>6</v>
      </c>
    </row>
    <row r="42" spans="1:21">
      <c r="A42" s="102"/>
      <c r="B42" s="103"/>
      <c r="C42" s="104"/>
      <c r="D42" s="104"/>
      <c r="E42" s="97" t="s">
        <v>7</v>
      </c>
      <c r="F42" s="97"/>
      <c r="G42" s="97"/>
      <c r="H42" s="97"/>
      <c r="I42" s="97" t="s">
        <v>8</v>
      </c>
      <c r="J42" s="97"/>
      <c r="K42" s="97"/>
      <c r="L42" s="97"/>
      <c r="M42" s="97" t="s">
        <v>9</v>
      </c>
      <c r="N42" s="97"/>
      <c r="O42" s="97"/>
      <c r="P42" s="97"/>
      <c r="Q42" s="104" t="s">
        <v>10</v>
      </c>
      <c r="R42" s="104"/>
      <c r="S42" s="104"/>
      <c r="T42" s="104"/>
      <c r="U42" s="105"/>
    </row>
    <row r="43" spans="1:21">
      <c r="A43" s="102"/>
      <c r="B43" s="103"/>
      <c r="C43" s="104"/>
      <c r="D43" s="104"/>
      <c r="E43" s="97" t="s">
        <v>11</v>
      </c>
      <c r="F43" s="97"/>
      <c r="G43" s="97" t="s">
        <v>12</v>
      </c>
      <c r="H43" s="97"/>
      <c r="I43" s="97" t="s">
        <v>11</v>
      </c>
      <c r="J43" s="97"/>
      <c r="K43" s="97" t="s">
        <v>12</v>
      </c>
      <c r="L43" s="97"/>
      <c r="M43" s="97" t="s">
        <v>11</v>
      </c>
      <c r="N43" s="97"/>
      <c r="O43" s="97" t="s">
        <v>12</v>
      </c>
      <c r="P43" s="97"/>
      <c r="Q43" s="97" t="s">
        <v>11</v>
      </c>
      <c r="R43" s="97"/>
      <c r="S43" s="97" t="s">
        <v>12</v>
      </c>
      <c r="T43" s="97"/>
      <c r="U43" s="105"/>
    </row>
    <row r="44" spans="1:21">
      <c r="A44" s="102"/>
      <c r="B44" s="103"/>
      <c r="C44" s="104"/>
      <c r="D44" s="104"/>
      <c r="E44" s="31" t="s">
        <v>13</v>
      </c>
      <c r="F44" s="25" t="s">
        <v>14</v>
      </c>
      <c r="G44" s="31" t="s">
        <v>13</v>
      </c>
      <c r="H44" s="25" t="s">
        <v>14</v>
      </c>
      <c r="I44" s="31" t="s">
        <v>13</v>
      </c>
      <c r="J44" s="30" t="s">
        <v>14</v>
      </c>
      <c r="K44" s="31" t="s">
        <v>13</v>
      </c>
      <c r="L44" s="30" t="s">
        <v>14</v>
      </c>
      <c r="M44" s="31" t="s">
        <v>13</v>
      </c>
      <c r="N44" s="30" t="s">
        <v>14</v>
      </c>
      <c r="O44" s="31" t="s">
        <v>13</v>
      </c>
      <c r="P44" s="30" t="s">
        <v>14</v>
      </c>
      <c r="Q44" s="31" t="s">
        <v>13</v>
      </c>
      <c r="R44" s="30" t="s">
        <v>14</v>
      </c>
      <c r="S44" s="31" t="s">
        <v>13</v>
      </c>
      <c r="T44" s="30" t="s">
        <v>14</v>
      </c>
      <c r="U44" s="106"/>
    </row>
    <row r="45" spans="1:21" ht="13.5" customHeight="1">
      <c r="A45" s="45"/>
      <c r="B45" s="14" t="s">
        <v>64</v>
      </c>
      <c r="C45" s="6">
        <v>3</v>
      </c>
      <c r="D45" s="6">
        <v>3</v>
      </c>
      <c r="E45" s="32">
        <v>3</v>
      </c>
      <c r="F45" s="15"/>
      <c r="G45" s="32"/>
      <c r="H45" s="15"/>
      <c r="I45" s="32"/>
      <c r="J45" s="15"/>
      <c r="K45" s="32"/>
      <c r="L45" s="15"/>
      <c r="M45" s="32"/>
      <c r="N45" s="15"/>
      <c r="O45" s="32"/>
      <c r="P45" s="15"/>
      <c r="Q45" s="32"/>
      <c r="R45" s="15"/>
      <c r="S45" s="32"/>
      <c r="T45" s="21"/>
      <c r="U45" s="28"/>
    </row>
    <row r="46" spans="1:21" ht="13.5" customHeight="1">
      <c r="A46" s="45"/>
      <c r="B46" s="46" t="s">
        <v>82</v>
      </c>
      <c r="C46" s="6">
        <v>3</v>
      </c>
      <c r="D46" s="6">
        <v>3</v>
      </c>
      <c r="E46" s="32">
        <v>3</v>
      </c>
      <c r="F46" s="15"/>
      <c r="G46" s="32"/>
      <c r="H46" s="15"/>
      <c r="I46" s="32"/>
      <c r="J46" s="15"/>
      <c r="K46" s="32"/>
      <c r="L46" s="15"/>
      <c r="M46" s="32"/>
      <c r="N46" s="15"/>
      <c r="O46" s="32"/>
      <c r="P46" s="15"/>
      <c r="Q46" s="32"/>
      <c r="R46" s="15"/>
      <c r="S46" s="32"/>
      <c r="T46" s="21"/>
      <c r="U46" s="28"/>
    </row>
    <row r="47" spans="1:21" ht="13.5" customHeight="1">
      <c r="A47" s="45"/>
      <c r="B47" s="14" t="s">
        <v>88</v>
      </c>
      <c r="C47" s="6">
        <v>3</v>
      </c>
      <c r="D47" s="6">
        <v>3</v>
      </c>
      <c r="E47" s="32"/>
      <c r="F47" s="15"/>
      <c r="G47" s="32">
        <v>3</v>
      </c>
      <c r="H47" s="15"/>
      <c r="I47" s="32"/>
      <c r="J47" s="15"/>
      <c r="K47" s="32"/>
      <c r="L47" s="15"/>
      <c r="M47" s="32"/>
      <c r="N47" s="15"/>
      <c r="O47" s="32"/>
      <c r="P47" s="15"/>
      <c r="Q47" s="32"/>
      <c r="R47" s="15"/>
      <c r="S47" s="32"/>
      <c r="T47" s="21"/>
      <c r="U47" s="75" t="s">
        <v>35</v>
      </c>
    </row>
    <row r="48" spans="1:21" ht="13.5" customHeight="1">
      <c r="A48" s="45"/>
      <c r="B48" s="7" t="s">
        <v>34</v>
      </c>
      <c r="C48" s="6">
        <v>3</v>
      </c>
      <c r="D48" s="6">
        <v>3</v>
      </c>
      <c r="E48" s="32"/>
      <c r="F48" s="15"/>
      <c r="G48" s="32">
        <v>3</v>
      </c>
      <c r="H48" s="15"/>
      <c r="I48" s="32"/>
      <c r="J48" s="15"/>
      <c r="K48" s="32"/>
      <c r="L48" s="15"/>
      <c r="M48" s="32"/>
      <c r="N48" s="15"/>
      <c r="O48" s="32"/>
      <c r="P48" s="15"/>
      <c r="Q48" s="32"/>
      <c r="R48" s="15"/>
      <c r="S48" s="32"/>
      <c r="T48" s="21"/>
      <c r="U48" s="75" t="s">
        <v>35</v>
      </c>
    </row>
    <row r="49" spans="1:21" ht="13.5" customHeight="1">
      <c r="A49" s="45"/>
      <c r="B49" s="14" t="s">
        <v>43</v>
      </c>
      <c r="C49" s="6">
        <v>3</v>
      </c>
      <c r="D49" s="6">
        <v>3</v>
      </c>
      <c r="E49" s="32"/>
      <c r="F49" s="15"/>
      <c r="G49" s="35"/>
      <c r="H49" s="15"/>
      <c r="I49" s="32">
        <v>3</v>
      </c>
      <c r="J49" s="15"/>
      <c r="K49" s="32"/>
      <c r="L49" s="15"/>
      <c r="M49" s="32"/>
      <c r="N49" s="15"/>
      <c r="O49" s="32"/>
      <c r="P49" s="15"/>
      <c r="Q49" s="32"/>
      <c r="R49" s="15"/>
      <c r="S49" s="32"/>
      <c r="T49" s="21"/>
      <c r="U49" s="75" t="s">
        <v>35</v>
      </c>
    </row>
    <row r="50" spans="1:21" ht="13.5" customHeight="1">
      <c r="A50" s="45"/>
      <c r="B50" s="14" t="s">
        <v>46</v>
      </c>
      <c r="C50" s="6">
        <v>3</v>
      </c>
      <c r="D50" s="6">
        <v>3</v>
      </c>
      <c r="E50" s="32"/>
      <c r="F50" s="15"/>
      <c r="G50" s="32"/>
      <c r="H50" s="15"/>
      <c r="I50" s="32">
        <v>3</v>
      </c>
      <c r="J50" s="15"/>
      <c r="K50" s="32"/>
      <c r="L50" s="15"/>
      <c r="M50" s="32"/>
      <c r="N50" s="15"/>
      <c r="O50" s="32"/>
      <c r="P50" s="15"/>
      <c r="Q50" s="32"/>
      <c r="R50" s="15"/>
      <c r="S50" s="32"/>
      <c r="T50" s="21"/>
      <c r="U50" s="75" t="s">
        <v>35</v>
      </c>
    </row>
    <row r="51" spans="1:21" s="12" customFormat="1" ht="13.5" customHeight="1">
      <c r="A51" s="95"/>
      <c r="B51" s="14" t="s">
        <v>56</v>
      </c>
      <c r="C51" s="6">
        <v>3</v>
      </c>
      <c r="D51" s="6">
        <v>3</v>
      </c>
      <c r="E51" s="32"/>
      <c r="F51" s="15"/>
      <c r="G51" s="32"/>
      <c r="H51" s="15"/>
      <c r="I51" s="32">
        <v>3</v>
      </c>
      <c r="J51" s="15"/>
      <c r="K51" s="32"/>
      <c r="L51" s="15"/>
      <c r="M51" s="32"/>
      <c r="N51" s="15"/>
      <c r="O51" s="32"/>
      <c r="P51" s="15"/>
      <c r="Q51" s="32"/>
      <c r="R51" s="15"/>
      <c r="S51" s="32"/>
      <c r="T51" s="21"/>
      <c r="U51" s="50" t="s">
        <v>71</v>
      </c>
    </row>
    <row r="52" spans="1:21" s="12" customFormat="1" ht="13.5" customHeight="1">
      <c r="A52" s="95"/>
      <c r="B52" s="14" t="s">
        <v>41</v>
      </c>
      <c r="C52" s="6">
        <v>3</v>
      </c>
      <c r="D52" s="6">
        <v>3</v>
      </c>
      <c r="E52" s="32"/>
      <c r="F52" s="15"/>
      <c r="G52" s="32"/>
      <c r="H52" s="15"/>
      <c r="I52" s="32">
        <v>3</v>
      </c>
      <c r="J52" s="15"/>
      <c r="K52" s="32"/>
      <c r="L52" s="15"/>
      <c r="M52" s="32"/>
      <c r="N52" s="15"/>
      <c r="O52" s="32"/>
      <c r="P52" s="15"/>
      <c r="Q52" s="32"/>
      <c r="R52" s="15"/>
      <c r="S52" s="32"/>
      <c r="T52" s="21"/>
      <c r="U52" s="75" t="s">
        <v>35</v>
      </c>
    </row>
    <row r="53" spans="1:21" s="12" customFormat="1" ht="13.5" customHeight="1">
      <c r="A53" s="95"/>
      <c r="B53" s="14" t="s">
        <v>66</v>
      </c>
      <c r="C53" s="6">
        <v>3</v>
      </c>
      <c r="D53" s="6">
        <v>3</v>
      </c>
      <c r="E53" s="32"/>
      <c r="F53" s="15"/>
      <c r="G53" s="32"/>
      <c r="H53" s="15"/>
      <c r="I53" s="32">
        <v>3</v>
      </c>
      <c r="J53" s="15"/>
      <c r="K53" s="32"/>
      <c r="L53" s="15"/>
      <c r="M53" s="32"/>
      <c r="N53" s="15"/>
      <c r="O53" s="32"/>
      <c r="P53" s="15"/>
      <c r="Q53" s="32"/>
      <c r="R53" s="15"/>
      <c r="S53" s="32"/>
      <c r="T53" s="21"/>
      <c r="U53" s="75" t="s">
        <v>35</v>
      </c>
    </row>
    <row r="54" spans="1:21" ht="13.5" customHeight="1">
      <c r="A54" s="95"/>
      <c r="B54" s="14" t="s">
        <v>69</v>
      </c>
      <c r="C54" s="6">
        <v>3</v>
      </c>
      <c r="D54" s="6">
        <v>3</v>
      </c>
      <c r="E54" s="32"/>
      <c r="F54" s="15"/>
      <c r="G54" s="32"/>
      <c r="H54" s="15"/>
      <c r="I54" s="32"/>
      <c r="J54" s="15"/>
      <c r="K54" s="32">
        <v>3</v>
      </c>
      <c r="L54" s="15"/>
      <c r="M54" s="32"/>
      <c r="N54" s="15"/>
      <c r="O54" s="32"/>
      <c r="P54" s="15"/>
      <c r="Q54" s="32"/>
      <c r="R54" s="15"/>
      <c r="S54" s="32"/>
      <c r="T54" s="21"/>
      <c r="U54" s="75" t="s">
        <v>35</v>
      </c>
    </row>
    <row r="55" spans="1:21" ht="13.5" customHeight="1">
      <c r="A55" s="95"/>
      <c r="B55" s="14" t="s">
        <v>47</v>
      </c>
      <c r="C55" s="6">
        <v>3</v>
      </c>
      <c r="D55" s="6">
        <v>3</v>
      </c>
      <c r="E55" s="32"/>
      <c r="F55" s="15"/>
      <c r="G55" s="32"/>
      <c r="H55" s="15"/>
      <c r="I55" s="32"/>
      <c r="J55" s="15"/>
      <c r="K55" s="32">
        <v>3</v>
      </c>
      <c r="L55" s="15"/>
      <c r="M55" s="32"/>
      <c r="N55" s="15"/>
      <c r="O55" s="32"/>
      <c r="P55" s="15"/>
      <c r="Q55" s="32"/>
      <c r="R55" s="15"/>
      <c r="S55" s="32"/>
      <c r="T55" s="21"/>
      <c r="U55" s="75" t="s">
        <v>35</v>
      </c>
    </row>
    <row r="56" spans="1:21" s="12" customFormat="1" ht="13.5" customHeight="1">
      <c r="A56" s="95"/>
      <c r="B56" s="14" t="s">
        <v>50</v>
      </c>
      <c r="C56" s="6">
        <v>3</v>
      </c>
      <c r="D56" s="6">
        <v>3</v>
      </c>
      <c r="E56" s="32"/>
      <c r="F56" s="15"/>
      <c r="G56" s="32"/>
      <c r="H56" s="15"/>
      <c r="I56" s="32"/>
      <c r="J56" s="15"/>
      <c r="K56" s="32">
        <v>3</v>
      </c>
      <c r="L56" s="15"/>
      <c r="M56" s="32"/>
      <c r="N56" s="15"/>
      <c r="O56" s="32"/>
      <c r="P56" s="15"/>
      <c r="Q56" s="32"/>
      <c r="R56" s="15"/>
      <c r="S56" s="32"/>
      <c r="T56" s="21"/>
      <c r="U56" s="75" t="s">
        <v>35</v>
      </c>
    </row>
    <row r="57" spans="1:21" ht="13.5" customHeight="1">
      <c r="A57" s="95"/>
      <c r="B57" s="14" t="s">
        <v>54</v>
      </c>
      <c r="C57" s="6">
        <v>3</v>
      </c>
      <c r="D57" s="6">
        <v>3</v>
      </c>
      <c r="E57" s="32"/>
      <c r="F57" s="15"/>
      <c r="G57" s="32"/>
      <c r="H57" s="15"/>
      <c r="I57" s="32"/>
      <c r="J57" s="15"/>
      <c r="K57" s="32">
        <v>3</v>
      </c>
      <c r="L57" s="15"/>
      <c r="M57" s="32"/>
      <c r="N57" s="15"/>
      <c r="O57" s="32"/>
      <c r="P57" s="15"/>
      <c r="Q57" s="32"/>
      <c r="R57" s="15"/>
      <c r="S57" s="32"/>
      <c r="T57" s="21"/>
      <c r="U57" s="75" t="s">
        <v>35</v>
      </c>
    </row>
    <row r="58" spans="1:21" s="47" customFormat="1" ht="13.5" customHeight="1">
      <c r="A58" s="95"/>
      <c r="B58" s="14" t="s">
        <v>139</v>
      </c>
      <c r="C58" s="6">
        <v>3</v>
      </c>
      <c r="D58" s="6">
        <v>3</v>
      </c>
      <c r="E58" s="32"/>
      <c r="F58" s="15"/>
      <c r="G58" s="32"/>
      <c r="H58" s="15"/>
      <c r="I58" s="32"/>
      <c r="J58" s="15"/>
      <c r="K58" s="32">
        <v>3</v>
      </c>
      <c r="L58" s="15"/>
      <c r="M58" s="32"/>
      <c r="N58" s="15"/>
      <c r="O58" s="32"/>
      <c r="P58" s="15"/>
      <c r="Q58" s="32"/>
      <c r="R58" s="15"/>
      <c r="S58" s="32"/>
      <c r="T58" s="21"/>
      <c r="U58" s="75" t="s">
        <v>35</v>
      </c>
    </row>
    <row r="59" spans="1:21" s="47" customFormat="1" ht="13.5" customHeight="1">
      <c r="A59" s="95"/>
      <c r="B59" s="14" t="s">
        <v>49</v>
      </c>
      <c r="C59" s="6">
        <v>3</v>
      </c>
      <c r="D59" s="6">
        <v>3</v>
      </c>
      <c r="E59" s="32"/>
      <c r="F59" s="15"/>
      <c r="G59" s="32"/>
      <c r="H59" s="15"/>
      <c r="I59" s="32"/>
      <c r="J59" s="15"/>
      <c r="K59" s="32">
        <v>3</v>
      </c>
      <c r="L59" s="15"/>
      <c r="M59" s="32"/>
      <c r="N59" s="15"/>
      <c r="O59" s="32"/>
      <c r="P59" s="15"/>
      <c r="Q59" s="32"/>
      <c r="R59" s="15"/>
      <c r="S59" s="32"/>
      <c r="T59" s="21"/>
      <c r="U59" s="75" t="s">
        <v>35</v>
      </c>
    </row>
    <row r="60" spans="1:21" s="47" customFormat="1" ht="13.5" customHeight="1">
      <c r="A60" s="95"/>
      <c r="B60" s="27" t="s">
        <v>45</v>
      </c>
      <c r="C60" s="6">
        <v>3</v>
      </c>
      <c r="D60" s="6">
        <v>3</v>
      </c>
      <c r="E60" s="32"/>
      <c r="F60" s="15"/>
      <c r="G60" s="32"/>
      <c r="H60" s="15"/>
      <c r="I60" s="32"/>
      <c r="J60" s="15"/>
      <c r="K60" s="32"/>
      <c r="L60" s="15"/>
      <c r="M60" s="32">
        <v>3</v>
      </c>
      <c r="N60" s="15"/>
      <c r="O60" s="32"/>
      <c r="P60" s="15"/>
      <c r="Q60" s="32"/>
      <c r="R60" s="15"/>
      <c r="S60" s="32"/>
      <c r="T60" s="21"/>
      <c r="U60" s="75" t="s">
        <v>35</v>
      </c>
    </row>
    <row r="61" spans="1:21" s="47" customFormat="1" ht="13.5" customHeight="1">
      <c r="A61" s="95"/>
      <c r="B61" s="27" t="s">
        <v>61</v>
      </c>
      <c r="C61" s="6">
        <v>3</v>
      </c>
      <c r="D61" s="6">
        <v>3</v>
      </c>
      <c r="E61" s="32"/>
      <c r="F61" s="15"/>
      <c r="G61" s="32"/>
      <c r="H61" s="15"/>
      <c r="I61" s="32"/>
      <c r="J61" s="15"/>
      <c r="K61" s="32"/>
      <c r="L61" s="15"/>
      <c r="M61" s="32">
        <v>3</v>
      </c>
      <c r="N61" s="15"/>
      <c r="O61" s="32"/>
      <c r="P61" s="15"/>
      <c r="Q61" s="32"/>
      <c r="R61" s="15"/>
      <c r="S61" s="32"/>
      <c r="T61" s="21"/>
      <c r="U61" s="75" t="s">
        <v>35</v>
      </c>
    </row>
    <row r="62" spans="1:21" ht="13.5" customHeight="1">
      <c r="A62" s="95"/>
      <c r="B62" s="14" t="s">
        <v>68</v>
      </c>
      <c r="C62" s="6">
        <v>3</v>
      </c>
      <c r="D62" s="6">
        <v>3</v>
      </c>
      <c r="E62" s="32"/>
      <c r="F62" s="15"/>
      <c r="G62" s="32"/>
      <c r="H62" s="15"/>
      <c r="I62" s="32"/>
      <c r="J62" s="15"/>
      <c r="K62" s="32"/>
      <c r="L62" s="88"/>
      <c r="M62" s="32">
        <v>3</v>
      </c>
      <c r="N62" s="15"/>
      <c r="O62" s="32"/>
      <c r="P62" s="15"/>
      <c r="Q62" s="32"/>
      <c r="R62" s="15"/>
      <c r="S62" s="32"/>
      <c r="T62" s="21"/>
      <c r="U62" s="75" t="s">
        <v>35</v>
      </c>
    </row>
    <row r="63" spans="1:21" s="48" customFormat="1" ht="13.5" customHeight="1">
      <c r="A63" s="95"/>
      <c r="B63" s="14" t="s">
        <v>55</v>
      </c>
      <c r="C63" s="6">
        <v>3</v>
      </c>
      <c r="D63" s="6">
        <v>3</v>
      </c>
      <c r="E63" s="32"/>
      <c r="F63" s="15"/>
      <c r="G63" s="32"/>
      <c r="H63" s="15"/>
      <c r="I63" s="32"/>
      <c r="J63" s="15"/>
      <c r="K63" s="32"/>
      <c r="L63" s="15"/>
      <c r="M63" s="32">
        <v>3</v>
      </c>
      <c r="N63" s="15"/>
      <c r="O63" s="32"/>
      <c r="P63" s="15"/>
      <c r="Q63" s="32"/>
      <c r="R63" s="15"/>
      <c r="S63" s="32"/>
      <c r="T63" s="21"/>
      <c r="U63" s="75" t="s">
        <v>35</v>
      </c>
    </row>
    <row r="64" spans="1:21" s="47" customFormat="1" ht="13.5" customHeight="1">
      <c r="A64" s="95"/>
      <c r="B64" s="14" t="s">
        <v>74</v>
      </c>
      <c r="C64" s="6">
        <v>3</v>
      </c>
      <c r="D64" s="6">
        <v>3</v>
      </c>
      <c r="E64" s="32"/>
      <c r="F64" s="15"/>
      <c r="G64" s="32"/>
      <c r="H64" s="15"/>
      <c r="I64" s="32"/>
      <c r="J64" s="15"/>
      <c r="K64" s="32"/>
      <c r="L64" s="15"/>
      <c r="M64" s="32">
        <v>3</v>
      </c>
      <c r="N64" s="15"/>
      <c r="O64" s="32"/>
      <c r="P64" s="15"/>
      <c r="Q64" s="32"/>
      <c r="R64" s="15"/>
      <c r="S64" s="32"/>
      <c r="T64" s="21"/>
      <c r="U64" s="75" t="s">
        <v>35</v>
      </c>
    </row>
    <row r="65" spans="1:21" s="47" customFormat="1" ht="13.5" customHeight="1">
      <c r="A65" s="95"/>
      <c r="B65" s="14" t="s">
        <v>48</v>
      </c>
      <c r="C65" s="6">
        <v>3</v>
      </c>
      <c r="D65" s="6">
        <v>3</v>
      </c>
      <c r="E65" s="32"/>
      <c r="F65" s="15"/>
      <c r="G65" s="32"/>
      <c r="H65" s="15"/>
      <c r="I65" s="32"/>
      <c r="J65" s="15"/>
      <c r="K65" s="32"/>
      <c r="L65" s="15"/>
      <c r="M65" s="32"/>
      <c r="N65" s="15"/>
      <c r="O65" s="32">
        <v>3</v>
      </c>
      <c r="P65" s="15"/>
      <c r="Q65" s="32"/>
      <c r="R65" s="15"/>
      <c r="S65" s="32"/>
      <c r="T65" s="21"/>
      <c r="U65" s="75" t="s">
        <v>35</v>
      </c>
    </row>
    <row r="66" spans="1:21" s="47" customFormat="1" ht="13.5" customHeight="1">
      <c r="A66" s="95"/>
      <c r="B66" s="14" t="s">
        <v>140</v>
      </c>
      <c r="C66" s="6">
        <v>3</v>
      </c>
      <c r="D66" s="6">
        <v>3</v>
      </c>
      <c r="E66" s="32"/>
      <c r="F66" s="15"/>
      <c r="G66" s="32"/>
      <c r="H66" s="15"/>
      <c r="I66" s="32"/>
      <c r="J66" s="15"/>
      <c r="K66" s="32"/>
      <c r="L66" s="15"/>
      <c r="M66" s="32"/>
      <c r="N66" s="15"/>
      <c r="O66" s="32">
        <v>3</v>
      </c>
      <c r="P66" s="15"/>
      <c r="Q66" s="32"/>
      <c r="R66" s="15"/>
      <c r="S66" s="32"/>
      <c r="T66" s="21"/>
      <c r="U66" s="75" t="s">
        <v>35</v>
      </c>
    </row>
    <row r="67" spans="1:21" s="47" customFormat="1" ht="13.5" customHeight="1">
      <c r="A67" s="95"/>
      <c r="B67" s="14" t="s">
        <v>143</v>
      </c>
      <c r="C67" s="6">
        <v>3</v>
      </c>
      <c r="D67" s="6">
        <v>3</v>
      </c>
      <c r="E67" s="32"/>
      <c r="F67" s="15"/>
      <c r="G67" s="32"/>
      <c r="H67" s="15"/>
      <c r="I67" s="32"/>
      <c r="J67" s="15"/>
      <c r="K67" s="32"/>
      <c r="L67" s="15"/>
      <c r="M67" s="32"/>
      <c r="N67" s="15"/>
      <c r="O67" s="32">
        <v>3</v>
      </c>
      <c r="P67" s="15"/>
      <c r="Q67" s="32"/>
      <c r="R67" s="15"/>
      <c r="S67" s="32"/>
      <c r="T67" s="21"/>
      <c r="U67" s="75" t="s">
        <v>35</v>
      </c>
    </row>
    <row r="68" spans="1:21" ht="13.5" customHeight="1">
      <c r="A68" s="95"/>
      <c r="B68" s="14" t="s">
        <v>72</v>
      </c>
      <c r="C68" s="15">
        <v>3</v>
      </c>
      <c r="D68" s="15">
        <v>3</v>
      </c>
      <c r="E68" s="32"/>
      <c r="F68" s="15"/>
      <c r="G68" s="32"/>
      <c r="H68" s="15"/>
      <c r="I68" s="32"/>
      <c r="J68" s="15"/>
      <c r="K68" s="32"/>
      <c r="L68" s="15"/>
      <c r="M68" s="32"/>
      <c r="N68" s="15"/>
      <c r="O68" s="33">
        <v>3</v>
      </c>
      <c r="P68" s="15"/>
      <c r="Q68" s="32"/>
      <c r="R68" s="15"/>
      <c r="S68" s="32"/>
      <c r="T68" s="21"/>
      <c r="U68" s="75" t="s">
        <v>35</v>
      </c>
    </row>
    <row r="69" spans="1:21" s="47" customFormat="1" ht="13.5" customHeight="1">
      <c r="A69" s="95"/>
      <c r="B69" s="14" t="s">
        <v>141</v>
      </c>
      <c r="C69" s="6">
        <v>3</v>
      </c>
      <c r="D69" s="6">
        <v>3</v>
      </c>
      <c r="E69" s="32"/>
      <c r="F69" s="15"/>
      <c r="G69" s="32"/>
      <c r="H69" s="15"/>
      <c r="I69" s="32"/>
      <c r="J69" s="15"/>
      <c r="K69" s="32"/>
      <c r="L69" s="15"/>
      <c r="M69" s="32"/>
      <c r="N69" s="15"/>
      <c r="O69" s="32">
        <v>3</v>
      </c>
      <c r="P69" s="15"/>
      <c r="Q69" s="32"/>
      <c r="R69" s="15"/>
      <c r="S69" s="32"/>
      <c r="T69" s="21"/>
      <c r="U69" s="75" t="s">
        <v>35</v>
      </c>
    </row>
    <row r="70" spans="1:21" s="48" customFormat="1" ht="13.5" customHeight="1">
      <c r="A70" s="95"/>
      <c r="B70" s="14" t="s">
        <v>67</v>
      </c>
      <c r="C70" s="6">
        <v>3</v>
      </c>
      <c r="D70" s="6">
        <v>3</v>
      </c>
      <c r="E70" s="32"/>
      <c r="F70" s="15"/>
      <c r="G70" s="32"/>
      <c r="H70" s="15"/>
      <c r="I70" s="32"/>
      <c r="J70" s="15"/>
      <c r="K70" s="32"/>
      <c r="L70" s="15"/>
      <c r="M70" s="32"/>
      <c r="N70" s="15"/>
      <c r="O70" s="32"/>
      <c r="P70" s="15"/>
      <c r="Q70" s="32">
        <v>3</v>
      </c>
      <c r="R70" s="15"/>
      <c r="S70" s="32"/>
      <c r="T70" s="21"/>
      <c r="U70" s="75" t="s">
        <v>35</v>
      </c>
    </row>
    <row r="71" spans="1:21" s="48" customFormat="1" ht="13.5" customHeight="1">
      <c r="A71" s="95"/>
      <c r="B71" s="14" t="s">
        <v>73</v>
      </c>
      <c r="C71" s="6">
        <v>3</v>
      </c>
      <c r="D71" s="6">
        <v>3</v>
      </c>
      <c r="E71" s="32"/>
      <c r="F71" s="15"/>
      <c r="G71" s="32"/>
      <c r="H71" s="15"/>
      <c r="I71" s="32"/>
      <c r="J71" s="15"/>
      <c r="K71" s="32"/>
      <c r="L71" s="15"/>
      <c r="M71" s="32"/>
      <c r="N71" s="15"/>
      <c r="O71" s="32"/>
      <c r="P71" s="15"/>
      <c r="Q71" s="32">
        <v>3</v>
      </c>
      <c r="R71" s="15"/>
      <c r="S71" s="32"/>
      <c r="T71" s="21"/>
      <c r="U71" s="75" t="s">
        <v>35</v>
      </c>
    </row>
    <row r="72" spans="1:21" ht="13.5" customHeight="1">
      <c r="A72" s="95"/>
      <c r="B72" s="14" t="s">
        <v>58</v>
      </c>
      <c r="C72" s="6">
        <v>3</v>
      </c>
      <c r="D72" s="6">
        <v>3</v>
      </c>
      <c r="E72" s="32"/>
      <c r="F72" s="15"/>
      <c r="G72" s="32"/>
      <c r="H72" s="15"/>
      <c r="I72" s="32"/>
      <c r="J72" s="15"/>
      <c r="K72" s="32"/>
      <c r="L72" s="15"/>
      <c r="M72" s="32"/>
      <c r="N72" s="15"/>
      <c r="O72" s="32"/>
      <c r="P72" s="15"/>
      <c r="Q72" s="32">
        <v>3</v>
      </c>
      <c r="R72" s="15"/>
      <c r="S72" s="32"/>
      <c r="T72" s="21"/>
      <c r="U72" s="75" t="s">
        <v>35</v>
      </c>
    </row>
    <row r="73" spans="1:21" ht="13.5" customHeight="1">
      <c r="A73" s="95"/>
      <c r="B73" s="14" t="s">
        <v>21</v>
      </c>
      <c r="C73" s="6">
        <v>3</v>
      </c>
      <c r="D73" s="6">
        <v>3</v>
      </c>
      <c r="E73" s="32"/>
      <c r="F73" s="15"/>
      <c r="G73" s="32"/>
      <c r="H73" s="15"/>
      <c r="I73" s="32"/>
      <c r="J73" s="15"/>
      <c r="K73" s="32"/>
      <c r="L73" s="15"/>
      <c r="M73" s="32"/>
      <c r="N73" s="15"/>
      <c r="O73" s="32"/>
      <c r="P73" s="15"/>
      <c r="Q73" s="32">
        <v>3</v>
      </c>
      <c r="R73" s="15"/>
      <c r="S73" s="32"/>
      <c r="T73" s="21"/>
      <c r="U73" s="75" t="s">
        <v>35</v>
      </c>
    </row>
    <row r="74" spans="1:21" s="86" customFormat="1" ht="13.5" customHeight="1">
      <c r="A74" s="95"/>
      <c r="B74" s="49" t="s">
        <v>25</v>
      </c>
      <c r="C74" s="6">
        <v>3</v>
      </c>
      <c r="D74" s="6">
        <v>3</v>
      </c>
      <c r="E74" s="32"/>
      <c r="F74" s="15"/>
      <c r="G74" s="32"/>
      <c r="H74" s="15"/>
      <c r="I74" s="32"/>
      <c r="J74" s="15"/>
      <c r="K74" s="32"/>
      <c r="L74" s="15"/>
      <c r="M74" s="32"/>
      <c r="N74" s="15"/>
      <c r="O74" s="32"/>
      <c r="P74" s="15"/>
      <c r="Q74" s="32">
        <v>3</v>
      </c>
      <c r="R74" s="15"/>
      <c r="S74" s="32"/>
      <c r="T74" s="21"/>
      <c r="U74" s="75" t="s">
        <v>35</v>
      </c>
    </row>
    <row r="75" spans="1:21" ht="13.5" customHeight="1">
      <c r="A75" s="95"/>
      <c r="B75" s="14" t="s">
        <v>51</v>
      </c>
      <c r="C75" s="6">
        <v>3</v>
      </c>
      <c r="D75" s="6">
        <v>3</v>
      </c>
      <c r="E75" s="32"/>
      <c r="F75" s="15"/>
      <c r="G75" s="32"/>
      <c r="H75" s="15"/>
      <c r="I75" s="32"/>
      <c r="J75" s="15"/>
      <c r="K75" s="32"/>
      <c r="L75" s="15"/>
      <c r="M75" s="32"/>
      <c r="N75" s="15"/>
      <c r="O75" s="32"/>
      <c r="P75" s="15"/>
      <c r="Q75" s="32"/>
      <c r="R75" s="15"/>
      <c r="S75" s="32">
        <v>3</v>
      </c>
      <c r="T75" s="21"/>
      <c r="U75" s="76"/>
    </row>
    <row r="76" spans="1:21" ht="13.5" customHeight="1">
      <c r="A76" s="95"/>
      <c r="B76" s="49" t="s">
        <v>63</v>
      </c>
      <c r="C76" s="6">
        <v>3</v>
      </c>
      <c r="D76" s="6">
        <v>3</v>
      </c>
      <c r="E76" s="32"/>
      <c r="F76" s="15"/>
      <c r="G76" s="32"/>
      <c r="H76" s="15"/>
      <c r="I76" s="32"/>
      <c r="J76" s="15"/>
      <c r="K76" s="32"/>
      <c r="L76" s="15"/>
      <c r="M76" s="32"/>
      <c r="N76" s="15"/>
      <c r="O76" s="32"/>
      <c r="P76" s="15"/>
      <c r="Q76" s="32"/>
      <c r="R76" s="15"/>
      <c r="S76" s="32">
        <v>3</v>
      </c>
      <c r="T76" s="21"/>
      <c r="U76" s="75" t="s">
        <v>35</v>
      </c>
    </row>
    <row r="77" spans="1:21" ht="13.5" customHeight="1">
      <c r="A77" s="95"/>
      <c r="B77" s="27" t="s">
        <v>53</v>
      </c>
      <c r="C77" s="6">
        <v>3</v>
      </c>
      <c r="D77" s="6">
        <v>3</v>
      </c>
      <c r="E77" s="32"/>
      <c r="F77" s="15"/>
      <c r="G77" s="32"/>
      <c r="H77" s="15"/>
      <c r="I77" s="32"/>
      <c r="J77" s="15"/>
      <c r="K77" s="32"/>
      <c r="L77" s="15"/>
      <c r="M77" s="32"/>
      <c r="N77" s="15"/>
      <c r="O77" s="32"/>
      <c r="P77" s="15"/>
      <c r="Q77" s="32"/>
      <c r="R77" s="15"/>
      <c r="S77" s="32">
        <v>3</v>
      </c>
      <c r="T77" s="21"/>
      <c r="U77" s="75" t="s">
        <v>35</v>
      </c>
    </row>
    <row r="78" spans="1:21" ht="13.5" customHeight="1">
      <c r="A78" s="95"/>
      <c r="B78" s="14" t="s">
        <v>42</v>
      </c>
      <c r="C78" s="6">
        <v>3</v>
      </c>
      <c r="D78" s="6">
        <v>3</v>
      </c>
      <c r="E78" s="32"/>
      <c r="F78" s="15"/>
      <c r="G78" s="32"/>
      <c r="H78" s="15"/>
      <c r="I78" s="32"/>
      <c r="J78" s="15"/>
      <c r="K78" s="32"/>
      <c r="L78" s="15"/>
      <c r="M78" s="32"/>
      <c r="N78" s="15"/>
      <c r="O78" s="32"/>
      <c r="P78" s="15"/>
      <c r="Q78" s="32"/>
      <c r="R78" s="15"/>
      <c r="S78" s="32">
        <v>3</v>
      </c>
      <c r="T78" s="21"/>
      <c r="U78" s="75" t="s">
        <v>35</v>
      </c>
    </row>
    <row r="79" spans="1:21" ht="13.5" customHeight="1">
      <c r="A79" s="95"/>
      <c r="B79" s="14" t="s">
        <v>138</v>
      </c>
      <c r="C79" s="6">
        <v>3</v>
      </c>
      <c r="D79" s="6">
        <v>3</v>
      </c>
      <c r="E79" s="32"/>
      <c r="F79" s="15"/>
      <c r="G79" s="32"/>
      <c r="H79" s="15"/>
      <c r="I79" s="32"/>
      <c r="J79" s="15"/>
      <c r="K79" s="32"/>
      <c r="L79" s="15"/>
      <c r="M79" s="32"/>
      <c r="N79" s="15"/>
      <c r="O79" s="32"/>
      <c r="P79" s="15"/>
      <c r="Q79" s="32"/>
      <c r="R79" s="15"/>
      <c r="S79" s="32">
        <v>3</v>
      </c>
      <c r="T79" s="21"/>
      <c r="U79" s="75" t="s">
        <v>35</v>
      </c>
    </row>
    <row r="80" spans="1:21" ht="13.5" customHeight="1">
      <c r="A80" s="95"/>
      <c r="B80" s="14" t="s">
        <v>30</v>
      </c>
      <c r="C80" s="6">
        <v>6</v>
      </c>
      <c r="D80" s="8">
        <v>24</v>
      </c>
      <c r="E80" s="32"/>
      <c r="F80" s="15"/>
      <c r="G80" s="32"/>
      <c r="H80" s="15"/>
      <c r="I80" s="32"/>
      <c r="J80" s="15"/>
      <c r="K80" s="32"/>
      <c r="L80" s="15"/>
      <c r="M80" s="32"/>
      <c r="N80" s="15"/>
      <c r="O80" s="32"/>
      <c r="P80" s="15">
        <v>24</v>
      </c>
      <c r="Q80" s="32"/>
      <c r="R80" s="15"/>
      <c r="S80" s="32"/>
      <c r="T80" s="21"/>
      <c r="U80" s="76"/>
    </row>
    <row r="81" spans="1:21" ht="13.5" customHeight="1">
      <c r="A81" s="95"/>
      <c r="B81" s="14" t="s">
        <v>31</v>
      </c>
      <c r="C81" s="6">
        <v>6</v>
      </c>
      <c r="D81" s="8">
        <v>24</v>
      </c>
      <c r="E81" s="32"/>
      <c r="F81" s="15"/>
      <c r="G81" s="32"/>
      <c r="H81" s="15"/>
      <c r="I81" s="32"/>
      <c r="J81" s="15"/>
      <c r="K81" s="32"/>
      <c r="L81" s="15"/>
      <c r="M81" s="32"/>
      <c r="N81" s="15"/>
      <c r="O81" s="32"/>
      <c r="P81" s="15"/>
      <c r="Q81" s="32"/>
      <c r="R81" s="15">
        <v>24</v>
      </c>
      <c r="S81" s="32"/>
      <c r="T81" s="21"/>
      <c r="U81" s="76"/>
    </row>
    <row r="82" spans="1:21" ht="13.5" customHeight="1">
      <c r="A82" s="95"/>
      <c r="B82" s="14" t="s">
        <v>32</v>
      </c>
      <c r="C82" s="6">
        <v>6</v>
      </c>
      <c r="D82" s="8">
        <v>24</v>
      </c>
      <c r="E82" s="34"/>
      <c r="F82" s="21"/>
      <c r="G82" s="34"/>
      <c r="H82" s="21"/>
      <c r="I82" s="34"/>
      <c r="J82" s="21"/>
      <c r="K82" s="34"/>
      <c r="L82" s="21"/>
      <c r="M82" s="34"/>
      <c r="N82" s="21"/>
      <c r="O82" s="34"/>
      <c r="P82" s="21"/>
      <c r="Q82" s="32"/>
      <c r="R82" s="15"/>
      <c r="S82" s="32"/>
      <c r="T82" s="15">
        <v>24</v>
      </c>
      <c r="U82" s="76"/>
    </row>
    <row r="83" spans="1:21" ht="17.25" thickBot="1">
      <c r="A83" s="96"/>
      <c r="B83" s="77" t="s">
        <v>116</v>
      </c>
      <c r="C83" s="78">
        <v>45</v>
      </c>
      <c r="D83" s="78"/>
      <c r="E83" s="93" t="s">
        <v>80</v>
      </c>
      <c r="F83" s="94"/>
      <c r="G83" s="90" t="s">
        <v>80</v>
      </c>
      <c r="H83" s="90"/>
      <c r="I83" s="90" t="s">
        <v>80</v>
      </c>
      <c r="J83" s="90"/>
      <c r="K83" s="90" t="s">
        <v>80</v>
      </c>
      <c r="L83" s="90"/>
      <c r="M83" s="90" t="s">
        <v>80</v>
      </c>
      <c r="N83" s="90"/>
      <c r="O83" s="90" t="s">
        <v>115</v>
      </c>
      <c r="P83" s="91"/>
      <c r="Q83" s="90" t="s">
        <v>126</v>
      </c>
      <c r="R83" s="92"/>
      <c r="S83" s="90" t="s">
        <v>110</v>
      </c>
      <c r="T83" s="92"/>
      <c r="U83" s="79"/>
    </row>
  </sheetData>
  <mergeCells count="87">
    <mergeCell ref="K1:U1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  <mergeCell ref="K5:L5"/>
    <mergeCell ref="K15:L15"/>
    <mergeCell ref="M5:N5"/>
    <mergeCell ref="O5:P5"/>
    <mergeCell ref="Q5:R5"/>
    <mergeCell ref="S5:T5"/>
    <mergeCell ref="O15:P15"/>
    <mergeCell ref="Q15:R15"/>
    <mergeCell ref="S15:T15"/>
    <mergeCell ref="M15:N15"/>
    <mergeCell ref="A16:A17"/>
    <mergeCell ref="A7:A15"/>
    <mergeCell ref="E15:F15"/>
    <mergeCell ref="G15:H15"/>
    <mergeCell ref="I15:J15"/>
    <mergeCell ref="A18:A34"/>
    <mergeCell ref="E34:F34"/>
    <mergeCell ref="G34:H34"/>
    <mergeCell ref="I34:J34"/>
    <mergeCell ref="K34:L34"/>
    <mergeCell ref="I43:J43"/>
    <mergeCell ref="O34:P34"/>
    <mergeCell ref="Q34:R34"/>
    <mergeCell ref="S34:T34"/>
    <mergeCell ref="S35:T35"/>
    <mergeCell ref="M34:N34"/>
    <mergeCell ref="M35:N35"/>
    <mergeCell ref="I35:J35"/>
    <mergeCell ref="K35:L35"/>
    <mergeCell ref="O35:P35"/>
    <mergeCell ref="Q35:R35"/>
    <mergeCell ref="K39:U39"/>
    <mergeCell ref="A35:B35"/>
    <mergeCell ref="E35:F35"/>
    <mergeCell ref="G35:H35"/>
    <mergeCell ref="G43:H43"/>
    <mergeCell ref="A37:U37"/>
    <mergeCell ref="K36:L36"/>
    <mergeCell ref="M36:N36"/>
    <mergeCell ref="A36:B36"/>
    <mergeCell ref="E36:F36"/>
    <mergeCell ref="G36:H36"/>
    <mergeCell ref="I36:J36"/>
    <mergeCell ref="K43:L43"/>
    <mergeCell ref="O36:P36"/>
    <mergeCell ref="Q36:R36"/>
    <mergeCell ref="S36:T36"/>
    <mergeCell ref="M43:N43"/>
    <mergeCell ref="A51:A83"/>
    <mergeCell ref="O43:P43"/>
    <mergeCell ref="Q43:R43"/>
    <mergeCell ref="S43:T43"/>
    <mergeCell ref="A40:U40"/>
    <mergeCell ref="A41:A44"/>
    <mergeCell ref="B41:B44"/>
    <mergeCell ref="C41:C44"/>
    <mergeCell ref="D41:D44"/>
    <mergeCell ref="E41:T41"/>
    <mergeCell ref="U41:U44"/>
    <mergeCell ref="E42:H42"/>
    <mergeCell ref="I42:L42"/>
    <mergeCell ref="E43:F43"/>
    <mergeCell ref="M42:P42"/>
    <mergeCell ref="Q42:T42"/>
    <mergeCell ref="O83:P83"/>
    <mergeCell ref="Q83:R83"/>
    <mergeCell ref="S83:T83"/>
    <mergeCell ref="E83:F83"/>
    <mergeCell ref="G83:H83"/>
    <mergeCell ref="I83:J83"/>
    <mergeCell ref="K83:L83"/>
    <mergeCell ref="M83:N83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fitToHeight="0" orientation="portrait" r:id="rId1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topLeftCell="A40" zoomScale="127" zoomScaleNormal="127" zoomScaleSheetLayoutView="110" workbookViewId="0">
      <selection sqref="A1:G62"/>
    </sheetView>
  </sheetViews>
  <sheetFormatPr defaultColWidth="9" defaultRowHeight="16.5"/>
  <cols>
    <col min="1" max="1" width="4.5" style="10" customWidth="1"/>
    <col min="2" max="2" width="17.875" style="10" customWidth="1"/>
    <col min="3" max="4" width="5.875" style="10" customWidth="1"/>
    <col min="5" max="7" width="5.75" style="10" customWidth="1"/>
    <col min="8" max="9" width="9" style="10"/>
    <col min="10" max="10" width="9.875" style="10" bestFit="1" customWidth="1"/>
    <col min="11" max="11" width="11.875" style="10" bestFit="1" customWidth="1"/>
    <col min="12" max="13" width="11.875" style="10" customWidth="1"/>
    <col min="14" max="14" width="8.375" style="10" customWidth="1"/>
    <col min="15" max="16384" width="9" style="10"/>
  </cols>
  <sheetData>
    <row r="1" spans="1:14" s="54" customFormat="1" ht="18.75" customHeight="1">
      <c r="A1" s="53" t="s">
        <v>98</v>
      </c>
      <c r="B1" s="53" t="s">
        <v>97</v>
      </c>
      <c r="C1" s="53" t="s">
        <v>92</v>
      </c>
      <c r="D1" s="53" t="s">
        <v>93</v>
      </c>
      <c r="E1" s="54" t="s">
        <v>94</v>
      </c>
      <c r="F1" s="54" t="s">
        <v>95</v>
      </c>
      <c r="G1" s="54" t="s">
        <v>96</v>
      </c>
      <c r="J1" s="59" t="s">
        <v>99</v>
      </c>
      <c r="K1" t="s">
        <v>103</v>
      </c>
      <c r="L1" t="s">
        <v>104</v>
      </c>
      <c r="M1" t="s">
        <v>105</v>
      </c>
      <c r="N1"/>
    </row>
    <row r="2" spans="1:14" s="24" customFormat="1" ht="16.149999999999999" customHeight="1">
      <c r="A2" s="52" t="s">
        <v>91</v>
      </c>
      <c r="B2" s="7" t="s">
        <v>36</v>
      </c>
      <c r="C2" s="6">
        <v>3</v>
      </c>
      <c r="D2" s="6">
        <v>3</v>
      </c>
      <c r="E2" s="6">
        <v>3</v>
      </c>
      <c r="F2" s="6"/>
      <c r="G2" s="6"/>
      <c r="J2" s="60" t="s">
        <v>100</v>
      </c>
      <c r="K2" s="61">
        <v>24</v>
      </c>
      <c r="L2" s="61">
        <v>15</v>
      </c>
      <c r="M2" s="61">
        <v>18</v>
      </c>
      <c r="N2">
        <f>SUM(K2:M2)</f>
        <v>57</v>
      </c>
    </row>
    <row r="3" spans="1:14" ht="18" customHeight="1">
      <c r="A3" s="52" t="s">
        <v>91</v>
      </c>
      <c r="B3" s="7" t="s">
        <v>76</v>
      </c>
      <c r="C3" s="6">
        <v>3</v>
      </c>
      <c r="D3" s="6">
        <v>3</v>
      </c>
      <c r="E3" s="6">
        <v>3</v>
      </c>
      <c r="F3" s="6"/>
      <c r="G3" s="6"/>
      <c r="J3" s="60" t="s">
        <v>101</v>
      </c>
      <c r="K3" s="61">
        <v>44</v>
      </c>
      <c r="L3" s="61">
        <v>69</v>
      </c>
      <c r="M3" s="61">
        <v>18</v>
      </c>
      <c r="N3">
        <f>SUM(K3:M3)</f>
        <v>131</v>
      </c>
    </row>
    <row r="4" spans="1:14">
      <c r="A4" s="52" t="s">
        <v>91</v>
      </c>
      <c r="B4" s="4" t="s">
        <v>70</v>
      </c>
      <c r="C4" s="6">
        <v>3</v>
      </c>
      <c r="D4" s="6">
        <v>3</v>
      </c>
      <c r="E4" s="6">
        <v>3</v>
      </c>
      <c r="F4" s="6"/>
      <c r="G4" s="6"/>
      <c r="J4" s="60" t="s">
        <v>102</v>
      </c>
      <c r="K4" s="61">
        <v>68</v>
      </c>
      <c r="L4" s="61">
        <v>84</v>
      </c>
      <c r="M4" s="61">
        <v>36</v>
      </c>
      <c r="N4"/>
    </row>
    <row r="5" spans="1:14">
      <c r="A5" s="52" t="s">
        <v>91</v>
      </c>
      <c r="B5" s="51" t="s">
        <v>17</v>
      </c>
      <c r="C5" s="6">
        <v>3</v>
      </c>
      <c r="D5" s="6">
        <v>3</v>
      </c>
      <c r="E5" s="6">
        <v>3</v>
      </c>
      <c r="F5" s="6"/>
      <c r="G5" s="6"/>
      <c r="J5"/>
      <c r="K5"/>
      <c r="L5"/>
      <c r="M5"/>
      <c r="N5"/>
    </row>
    <row r="6" spans="1:14">
      <c r="A6" s="52" t="s">
        <v>91</v>
      </c>
      <c r="B6" s="7" t="s">
        <v>20</v>
      </c>
      <c r="C6" s="6">
        <v>3</v>
      </c>
      <c r="D6" s="6">
        <v>3</v>
      </c>
      <c r="E6" s="6"/>
      <c r="F6" s="6">
        <v>3</v>
      </c>
      <c r="G6" s="6"/>
      <c r="J6"/>
      <c r="K6" s="62">
        <f>GETPIVOTDATA("加總 - 理論",$J$1,"區分","必")/$N$2</f>
        <v>0.42105263157894735</v>
      </c>
      <c r="L6" s="62">
        <f>GETPIVOTDATA("加總 - 實作",$J$1,"區分","必")/$N$2</f>
        <v>0.26315789473684209</v>
      </c>
      <c r="M6" s="62">
        <f>GETPIVOTDATA("加總 - 實習",$J$1,"區分","必")/N2</f>
        <v>0.31578947368421051</v>
      </c>
    </row>
    <row r="7" spans="1:14">
      <c r="A7" s="52" t="s">
        <v>91</v>
      </c>
      <c r="B7" s="7" t="s">
        <v>34</v>
      </c>
      <c r="C7" s="6">
        <v>3</v>
      </c>
      <c r="D7" s="6">
        <v>3</v>
      </c>
      <c r="E7" s="6"/>
      <c r="F7" s="6">
        <v>3</v>
      </c>
      <c r="G7" s="6"/>
      <c r="J7"/>
      <c r="K7" s="62">
        <f>GETPIVOTDATA("加總 - 理論",$J$1,"區分","選")/N3</f>
        <v>0.33587786259541985</v>
      </c>
      <c r="L7" s="62">
        <f>GETPIVOTDATA("加總 - 實作",$J$1,"區分","選")/N3</f>
        <v>0.52671755725190839</v>
      </c>
      <c r="M7" s="62">
        <f>GETPIVOTDATA("加總 - 實習",$J$1,"區分","選")/N3</f>
        <v>0.13740458015267176</v>
      </c>
    </row>
    <row r="8" spans="1:14">
      <c r="A8" s="52" t="s">
        <v>91</v>
      </c>
      <c r="B8" s="7" t="s">
        <v>40</v>
      </c>
      <c r="C8" s="6">
        <v>3</v>
      </c>
      <c r="D8" s="6">
        <v>3</v>
      </c>
      <c r="E8" s="6">
        <v>3</v>
      </c>
      <c r="F8" s="6"/>
      <c r="G8" s="6"/>
      <c r="J8"/>
      <c r="K8"/>
      <c r="L8"/>
    </row>
    <row r="9" spans="1:14">
      <c r="A9" s="52" t="s">
        <v>91</v>
      </c>
      <c r="B9" s="7" t="s">
        <v>39</v>
      </c>
      <c r="C9" s="6">
        <v>3</v>
      </c>
      <c r="D9" s="6">
        <v>3</v>
      </c>
      <c r="E9" s="6">
        <v>3</v>
      </c>
      <c r="F9" s="6"/>
      <c r="G9" s="6"/>
      <c r="J9"/>
      <c r="K9"/>
      <c r="L9"/>
    </row>
    <row r="10" spans="1:14">
      <c r="A10" s="52" t="s">
        <v>91</v>
      </c>
      <c r="B10" s="7" t="s">
        <v>37</v>
      </c>
      <c r="C10" s="6">
        <v>3</v>
      </c>
      <c r="D10" s="6">
        <v>3</v>
      </c>
      <c r="E10" s="6"/>
      <c r="F10" s="6">
        <v>3</v>
      </c>
      <c r="G10" s="6"/>
      <c r="J10"/>
      <c r="K10"/>
      <c r="L10"/>
    </row>
    <row r="11" spans="1:14">
      <c r="A11" s="52" t="s">
        <v>91</v>
      </c>
      <c r="B11" s="7" t="s">
        <v>38</v>
      </c>
      <c r="C11" s="6">
        <v>3</v>
      </c>
      <c r="D11" s="6">
        <v>3</v>
      </c>
      <c r="E11" s="6"/>
      <c r="F11" s="6">
        <v>3</v>
      </c>
      <c r="G11" s="6"/>
      <c r="J11"/>
      <c r="K11"/>
      <c r="L11"/>
    </row>
    <row r="12" spans="1:14">
      <c r="A12" s="52" t="s">
        <v>91</v>
      </c>
      <c r="B12" s="7" t="s">
        <v>19</v>
      </c>
      <c r="C12" s="6">
        <v>3</v>
      </c>
      <c r="D12" s="6">
        <v>3</v>
      </c>
      <c r="E12" s="6">
        <v>3</v>
      </c>
      <c r="F12" s="6"/>
      <c r="G12" s="6"/>
      <c r="J12"/>
      <c r="K12"/>
      <c r="L12"/>
    </row>
    <row r="13" spans="1:14">
      <c r="A13" s="52" t="s">
        <v>91</v>
      </c>
      <c r="B13" s="7" t="s">
        <v>59</v>
      </c>
      <c r="C13" s="6">
        <v>3</v>
      </c>
      <c r="D13" s="6">
        <v>3</v>
      </c>
      <c r="E13" s="6">
        <v>3</v>
      </c>
      <c r="F13" s="6"/>
      <c r="G13" s="6"/>
      <c r="J13"/>
      <c r="K13"/>
      <c r="L13"/>
    </row>
    <row r="14" spans="1:14">
      <c r="A14" s="52" t="s">
        <v>91</v>
      </c>
      <c r="B14" s="7" t="s">
        <v>65</v>
      </c>
      <c r="C14" s="6">
        <v>3</v>
      </c>
      <c r="D14" s="6">
        <v>3</v>
      </c>
      <c r="E14" s="6"/>
      <c r="F14" s="6">
        <v>3</v>
      </c>
      <c r="G14" s="6"/>
      <c r="J14"/>
      <c r="K14"/>
      <c r="L14"/>
    </row>
    <row r="15" spans="1:14">
      <c r="A15" s="52" t="s">
        <v>91</v>
      </c>
      <c r="B15" s="7" t="s">
        <v>27</v>
      </c>
      <c r="C15" s="6">
        <v>6</v>
      </c>
      <c r="D15" s="6">
        <v>24</v>
      </c>
      <c r="E15" s="6"/>
      <c r="F15" s="6"/>
      <c r="G15" s="6">
        <v>6</v>
      </c>
      <c r="J15"/>
      <c r="K15"/>
      <c r="L15"/>
    </row>
    <row r="16" spans="1:14">
      <c r="A16" s="52" t="s">
        <v>91</v>
      </c>
      <c r="B16" s="7" t="s">
        <v>28</v>
      </c>
      <c r="C16" s="6">
        <v>6</v>
      </c>
      <c r="D16" s="6">
        <v>24</v>
      </c>
      <c r="E16" s="6"/>
      <c r="F16" s="6"/>
      <c r="G16" s="6">
        <v>6</v>
      </c>
      <c r="J16"/>
      <c r="K16"/>
      <c r="L16"/>
    </row>
    <row r="17" spans="1:12">
      <c r="A17" s="52" t="s">
        <v>91</v>
      </c>
      <c r="B17" s="7" t="s">
        <v>29</v>
      </c>
      <c r="C17" s="6">
        <v>6</v>
      </c>
      <c r="D17" s="6">
        <v>24</v>
      </c>
      <c r="E17" s="6"/>
      <c r="F17" s="6"/>
      <c r="G17" s="6">
        <v>6</v>
      </c>
      <c r="J17"/>
      <c r="K17"/>
      <c r="L17"/>
    </row>
    <row r="18" spans="1:12" ht="13.5" customHeight="1">
      <c r="A18" s="45" t="s">
        <v>90</v>
      </c>
      <c r="B18" s="14" t="s">
        <v>64</v>
      </c>
      <c r="C18" s="6">
        <v>3</v>
      </c>
      <c r="D18" s="6">
        <v>3</v>
      </c>
      <c r="E18" s="6">
        <v>3</v>
      </c>
      <c r="F18" s="6"/>
      <c r="G18" s="6"/>
      <c r="J18"/>
      <c r="K18"/>
      <c r="L18"/>
    </row>
    <row r="19" spans="1:12" ht="13.5" customHeight="1">
      <c r="A19" s="45" t="s">
        <v>90</v>
      </c>
      <c r="B19" s="46" t="s">
        <v>81</v>
      </c>
      <c r="C19" s="6">
        <v>3</v>
      </c>
      <c r="D19" s="6">
        <v>3</v>
      </c>
      <c r="E19" s="6">
        <v>3</v>
      </c>
      <c r="F19" s="6"/>
      <c r="G19" s="6"/>
    </row>
    <row r="20" spans="1:12" ht="13.5" customHeight="1">
      <c r="A20" s="45" t="s">
        <v>90</v>
      </c>
      <c r="B20" s="46" t="s">
        <v>88</v>
      </c>
      <c r="C20" s="6">
        <v>3</v>
      </c>
      <c r="D20" s="6">
        <v>3</v>
      </c>
      <c r="E20" s="6"/>
      <c r="F20" s="6">
        <v>3</v>
      </c>
      <c r="G20" s="6"/>
    </row>
    <row r="21" spans="1:12" ht="13.5" customHeight="1">
      <c r="A21" s="45" t="s">
        <v>90</v>
      </c>
      <c r="B21" s="46" t="s">
        <v>82</v>
      </c>
      <c r="C21" s="6">
        <v>3</v>
      </c>
      <c r="D21" s="6">
        <v>3</v>
      </c>
      <c r="E21" s="6">
        <v>3</v>
      </c>
      <c r="F21" s="6"/>
      <c r="G21" s="6"/>
    </row>
    <row r="22" spans="1:12" ht="13.5" customHeight="1">
      <c r="A22" s="45" t="s">
        <v>90</v>
      </c>
      <c r="B22" s="14" t="s">
        <v>66</v>
      </c>
      <c r="C22" s="6">
        <v>3</v>
      </c>
      <c r="D22" s="6">
        <v>3</v>
      </c>
      <c r="E22" s="6"/>
      <c r="F22" s="6">
        <v>3</v>
      </c>
      <c r="G22" s="6"/>
    </row>
    <row r="23" spans="1:12" s="12" customFormat="1" ht="13.5" customHeight="1">
      <c r="A23" s="45" t="s">
        <v>90</v>
      </c>
      <c r="B23" s="14" t="s">
        <v>21</v>
      </c>
      <c r="C23" s="15">
        <v>2</v>
      </c>
      <c r="D23" s="15">
        <v>2</v>
      </c>
      <c r="E23" s="6"/>
      <c r="F23" s="6">
        <v>2</v>
      </c>
      <c r="G23" s="6"/>
    </row>
    <row r="24" spans="1:12" s="12" customFormat="1" ht="13.5" customHeight="1">
      <c r="A24" s="45" t="s">
        <v>90</v>
      </c>
      <c r="B24" s="14" t="s">
        <v>43</v>
      </c>
      <c r="C24" s="6">
        <v>3</v>
      </c>
      <c r="D24" s="6">
        <v>3</v>
      </c>
      <c r="E24" s="6"/>
      <c r="F24" s="6">
        <v>3</v>
      </c>
      <c r="G24" s="6"/>
    </row>
    <row r="25" spans="1:12" s="12" customFormat="1" ht="13.5" customHeight="1">
      <c r="A25" s="45" t="s">
        <v>90</v>
      </c>
      <c r="B25" s="14" t="s">
        <v>46</v>
      </c>
      <c r="C25" s="15">
        <v>2</v>
      </c>
      <c r="D25" s="15">
        <v>2</v>
      </c>
      <c r="E25" s="6"/>
      <c r="F25" s="6">
        <v>2</v>
      </c>
      <c r="G25" s="6"/>
    </row>
    <row r="26" spans="1:12" s="12" customFormat="1" ht="13.5" customHeight="1">
      <c r="A26" s="45" t="s">
        <v>90</v>
      </c>
      <c r="B26" s="14" t="s">
        <v>56</v>
      </c>
      <c r="C26" s="6">
        <v>3</v>
      </c>
      <c r="D26" s="6">
        <v>3</v>
      </c>
      <c r="E26" s="6">
        <v>3</v>
      </c>
      <c r="F26" s="6"/>
      <c r="G26" s="6"/>
    </row>
    <row r="27" spans="1:12" ht="13.5" customHeight="1">
      <c r="A27" s="45" t="s">
        <v>90</v>
      </c>
      <c r="B27" s="14" t="s">
        <v>85</v>
      </c>
      <c r="C27" s="15">
        <v>3</v>
      </c>
      <c r="D27" s="15">
        <v>3</v>
      </c>
      <c r="E27" s="6"/>
      <c r="F27" s="6">
        <v>3</v>
      </c>
      <c r="G27" s="6"/>
    </row>
    <row r="28" spans="1:12" ht="13.5" customHeight="1">
      <c r="A28" s="45" t="s">
        <v>90</v>
      </c>
      <c r="B28" s="14" t="s">
        <v>23</v>
      </c>
      <c r="C28" s="6">
        <v>2</v>
      </c>
      <c r="D28" s="6">
        <v>2</v>
      </c>
      <c r="E28" s="6"/>
      <c r="F28" s="6">
        <v>2</v>
      </c>
      <c r="G28" s="6"/>
    </row>
    <row r="29" spans="1:12" s="12" customFormat="1" ht="13.5" customHeight="1">
      <c r="A29" s="45" t="s">
        <v>90</v>
      </c>
      <c r="B29" s="14" t="s">
        <v>26</v>
      </c>
      <c r="C29" s="6">
        <v>2</v>
      </c>
      <c r="D29" s="6">
        <v>2</v>
      </c>
      <c r="E29" s="6">
        <v>2</v>
      </c>
      <c r="F29" s="6"/>
      <c r="G29" s="6"/>
    </row>
    <row r="30" spans="1:12" ht="13.5" customHeight="1">
      <c r="A30" s="45" t="s">
        <v>90</v>
      </c>
      <c r="B30" s="14" t="s">
        <v>50</v>
      </c>
      <c r="C30" s="6">
        <v>3</v>
      </c>
      <c r="D30" s="6">
        <v>3</v>
      </c>
      <c r="E30" s="6"/>
      <c r="F30" s="6">
        <v>3</v>
      </c>
      <c r="G30" s="6"/>
    </row>
    <row r="31" spans="1:12" s="47" customFormat="1" ht="13.5" customHeight="1">
      <c r="A31" s="45" t="s">
        <v>90</v>
      </c>
      <c r="B31" s="14" t="s">
        <v>54</v>
      </c>
      <c r="C31" s="6">
        <v>3</v>
      </c>
      <c r="D31" s="6">
        <v>3</v>
      </c>
      <c r="E31" s="6"/>
      <c r="F31" s="6">
        <v>3</v>
      </c>
      <c r="G31" s="6"/>
    </row>
    <row r="32" spans="1:12" s="47" customFormat="1" ht="13.5" customHeight="1">
      <c r="A32" s="45" t="s">
        <v>90</v>
      </c>
      <c r="B32" s="14" t="s">
        <v>74</v>
      </c>
      <c r="C32" s="6">
        <v>2</v>
      </c>
      <c r="D32" s="6">
        <v>2</v>
      </c>
      <c r="E32" s="6"/>
      <c r="F32" s="6">
        <v>2</v>
      </c>
      <c r="G32" s="6"/>
    </row>
    <row r="33" spans="1:7" ht="13.5" customHeight="1">
      <c r="A33" s="45" t="s">
        <v>90</v>
      </c>
      <c r="B33" s="14" t="s">
        <v>69</v>
      </c>
      <c r="C33" s="6">
        <v>3</v>
      </c>
      <c r="D33" s="6">
        <v>3</v>
      </c>
      <c r="E33" s="6">
        <v>3</v>
      </c>
      <c r="F33" s="6"/>
      <c r="G33" s="6"/>
    </row>
    <row r="34" spans="1:7" s="48" customFormat="1" ht="13.5" customHeight="1">
      <c r="A34" s="45" t="s">
        <v>90</v>
      </c>
      <c r="B34" s="14" t="s">
        <v>24</v>
      </c>
      <c r="C34" s="6">
        <v>3</v>
      </c>
      <c r="D34" s="6">
        <v>3</v>
      </c>
      <c r="E34" s="6"/>
      <c r="F34" s="6">
        <v>3</v>
      </c>
      <c r="G34" s="6"/>
    </row>
    <row r="35" spans="1:7" ht="13.5" customHeight="1">
      <c r="A35" s="45" t="s">
        <v>90</v>
      </c>
      <c r="B35" s="14" t="s">
        <v>52</v>
      </c>
      <c r="C35" s="6">
        <v>3</v>
      </c>
      <c r="D35" s="6">
        <v>3</v>
      </c>
      <c r="E35" s="6">
        <v>3</v>
      </c>
      <c r="F35" s="6"/>
      <c r="G35" s="6"/>
    </row>
    <row r="36" spans="1:7" s="47" customFormat="1" ht="13.5" customHeight="1">
      <c r="A36" s="45" t="s">
        <v>90</v>
      </c>
      <c r="B36" s="14" t="s">
        <v>55</v>
      </c>
      <c r="C36" s="6">
        <v>3</v>
      </c>
      <c r="D36" s="6">
        <v>3</v>
      </c>
      <c r="E36" s="6"/>
      <c r="F36" s="6">
        <v>3</v>
      </c>
      <c r="G36" s="6"/>
    </row>
    <row r="37" spans="1:7" s="47" customFormat="1" ht="13.5" customHeight="1">
      <c r="A37" s="45" t="s">
        <v>90</v>
      </c>
      <c r="B37" s="14" t="s">
        <v>57</v>
      </c>
      <c r="C37" s="6">
        <v>2</v>
      </c>
      <c r="D37" s="6">
        <v>2</v>
      </c>
      <c r="E37" s="6">
        <v>2</v>
      </c>
      <c r="F37" s="6"/>
      <c r="G37" s="6"/>
    </row>
    <row r="38" spans="1:7" s="47" customFormat="1" ht="13.5" customHeight="1">
      <c r="A38" s="45" t="s">
        <v>90</v>
      </c>
      <c r="B38" s="14" t="s">
        <v>72</v>
      </c>
      <c r="C38" s="6">
        <v>3</v>
      </c>
      <c r="D38" s="6">
        <v>3</v>
      </c>
      <c r="E38" s="6">
        <v>3</v>
      </c>
      <c r="F38" s="6"/>
      <c r="G38" s="6"/>
    </row>
    <row r="39" spans="1:7" s="47" customFormat="1" ht="13.5" customHeight="1">
      <c r="A39" s="45" t="s">
        <v>90</v>
      </c>
      <c r="B39" s="14" t="s">
        <v>68</v>
      </c>
      <c r="C39" s="6">
        <v>3</v>
      </c>
      <c r="D39" s="6">
        <v>3</v>
      </c>
      <c r="E39" s="6"/>
      <c r="F39" s="6">
        <v>3</v>
      </c>
      <c r="G39" s="6"/>
    </row>
    <row r="40" spans="1:7" s="47" customFormat="1" ht="13.5" customHeight="1">
      <c r="A40" s="45" t="s">
        <v>90</v>
      </c>
      <c r="B40" s="14" t="s">
        <v>22</v>
      </c>
      <c r="C40" s="15">
        <v>2</v>
      </c>
      <c r="D40" s="15">
        <v>2</v>
      </c>
      <c r="E40" s="6"/>
      <c r="F40" s="6">
        <v>3</v>
      </c>
      <c r="G40" s="6"/>
    </row>
    <row r="41" spans="1:7" s="47" customFormat="1" ht="13.5" customHeight="1">
      <c r="A41" s="45" t="s">
        <v>90</v>
      </c>
      <c r="B41" s="27" t="s">
        <v>45</v>
      </c>
      <c r="C41" s="6">
        <v>3</v>
      </c>
      <c r="D41" s="6">
        <v>3</v>
      </c>
      <c r="E41" s="6"/>
      <c r="F41" s="6">
        <v>3</v>
      </c>
      <c r="G41" s="6"/>
    </row>
    <row r="42" spans="1:7" s="47" customFormat="1" ht="13.5" customHeight="1">
      <c r="A42" s="45" t="s">
        <v>90</v>
      </c>
      <c r="B42" s="14" t="s">
        <v>83</v>
      </c>
      <c r="C42" s="15">
        <v>2</v>
      </c>
      <c r="D42" s="15">
        <v>2</v>
      </c>
      <c r="E42" s="6"/>
      <c r="F42" s="6">
        <v>3</v>
      </c>
      <c r="G42" s="6"/>
    </row>
    <row r="43" spans="1:7" ht="13.5" customHeight="1">
      <c r="A43" s="45" t="s">
        <v>90</v>
      </c>
      <c r="B43" s="14" t="s">
        <v>48</v>
      </c>
      <c r="C43" s="15">
        <v>3</v>
      </c>
      <c r="D43" s="15">
        <v>3</v>
      </c>
      <c r="E43" s="6"/>
      <c r="F43" s="6">
        <v>3</v>
      </c>
      <c r="G43" s="6"/>
    </row>
    <row r="44" spans="1:7" s="47" customFormat="1" ht="13.5" customHeight="1">
      <c r="A44" s="45" t="s">
        <v>90</v>
      </c>
      <c r="B44" s="14" t="s">
        <v>62</v>
      </c>
      <c r="C44" s="6">
        <v>2</v>
      </c>
      <c r="D44" s="6">
        <v>2</v>
      </c>
      <c r="E44" s="6">
        <v>2</v>
      </c>
      <c r="F44" s="6"/>
      <c r="G44" s="6"/>
    </row>
    <row r="45" spans="1:7" s="48" customFormat="1" ht="13.5" customHeight="1">
      <c r="A45" s="45" t="s">
        <v>90</v>
      </c>
      <c r="B45" s="27" t="s">
        <v>61</v>
      </c>
      <c r="C45" s="6">
        <v>3</v>
      </c>
      <c r="D45" s="6">
        <v>3</v>
      </c>
      <c r="E45" s="6"/>
      <c r="F45" s="6">
        <v>3</v>
      </c>
      <c r="G45" s="6"/>
    </row>
    <row r="46" spans="1:7" s="48" customFormat="1" ht="13.5" customHeight="1">
      <c r="A46" s="45" t="s">
        <v>90</v>
      </c>
      <c r="B46" s="14" t="s">
        <v>49</v>
      </c>
      <c r="C46" s="6">
        <v>3</v>
      </c>
      <c r="D46" s="6">
        <v>3</v>
      </c>
      <c r="E46" s="6">
        <v>3</v>
      </c>
      <c r="F46" s="6"/>
      <c r="G46" s="6"/>
    </row>
    <row r="47" spans="1:7" s="48" customFormat="1" ht="13.5" customHeight="1">
      <c r="A47" s="45" t="s">
        <v>90</v>
      </c>
      <c r="B47" s="49" t="s">
        <v>25</v>
      </c>
      <c r="C47" s="6">
        <v>3</v>
      </c>
      <c r="D47" s="6">
        <v>3</v>
      </c>
      <c r="E47" s="6"/>
      <c r="F47" s="6">
        <v>3</v>
      </c>
      <c r="G47" s="6"/>
    </row>
    <row r="48" spans="1:7" ht="13.5" customHeight="1">
      <c r="A48" s="45" t="s">
        <v>90</v>
      </c>
      <c r="B48" s="14" t="s">
        <v>41</v>
      </c>
      <c r="C48" s="6">
        <v>2</v>
      </c>
      <c r="D48" s="6">
        <v>2</v>
      </c>
      <c r="E48" s="6"/>
      <c r="F48" s="6">
        <v>2</v>
      </c>
      <c r="G48" s="6"/>
    </row>
    <row r="49" spans="1:7" ht="13.5" customHeight="1">
      <c r="A49" s="45" t="s">
        <v>90</v>
      </c>
      <c r="B49" s="14" t="s">
        <v>67</v>
      </c>
      <c r="C49" s="15">
        <v>2</v>
      </c>
      <c r="D49" s="15">
        <v>2</v>
      </c>
      <c r="E49" s="6">
        <v>2</v>
      </c>
      <c r="F49" s="6"/>
      <c r="G49" s="6"/>
    </row>
    <row r="50" spans="1:7" ht="13.5" customHeight="1">
      <c r="A50" s="45" t="s">
        <v>90</v>
      </c>
      <c r="B50" s="14" t="s">
        <v>22</v>
      </c>
      <c r="C50" s="6">
        <v>3</v>
      </c>
      <c r="D50" s="6">
        <v>3</v>
      </c>
      <c r="E50" s="6">
        <v>3</v>
      </c>
      <c r="F50" s="6"/>
      <c r="G50" s="6"/>
    </row>
    <row r="51" spans="1:7" s="48" customFormat="1" ht="13.5" customHeight="1">
      <c r="A51" s="45" t="s">
        <v>90</v>
      </c>
      <c r="B51" s="14" t="s">
        <v>58</v>
      </c>
      <c r="C51" s="6">
        <v>3</v>
      </c>
      <c r="D51" s="6">
        <v>3</v>
      </c>
      <c r="E51" s="6"/>
      <c r="F51" s="6">
        <v>3</v>
      </c>
      <c r="G51" s="6"/>
    </row>
    <row r="52" spans="1:7" s="48" customFormat="1" ht="13.5" customHeight="1">
      <c r="A52" s="45" t="s">
        <v>90</v>
      </c>
      <c r="B52" s="14" t="s">
        <v>44</v>
      </c>
      <c r="C52" s="6">
        <v>2</v>
      </c>
      <c r="D52" s="6">
        <v>2</v>
      </c>
      <c r="E52" s="6"/>
      <c r="F52" s="6">
        <v>3</v>
      </c>
      <c r="G52" s="6"/>
    </row>
    <row r="53" spans="1:7" s="48" customFormat="1" ht="13.5" customHeight="1">
      <c r="A53" s="45" t="s">
        <v>90</v>
      </c>
      <c r="B53" s="14" t="s">
        <v>75</v>
      </c>
      <c r="C53" s="6">
        <v>2</v>
      </c>
      <c r="D53" s="6">
        <v>2</v>
      </c>
      <c r="E53" s="6"/>
      <c r="F53" s="6">
        <v>3</v>
      </c>
      <c r="G53" s="6"/>
    </row>
    <row r="54" spans="1:7" s="48" customFormat="1" ht="13.5" customHeight="1">
      <c r="A54" s="45" t="s">
        <v>90</v>
      </c>
      <c r="B54" s="14" t="s">
        <v>84</v>
      </c>
      <c r="C54" s="6">
        <v>3</v>
      </c>
      <c r="D54" s="6">
        <v>3</v>
      </c>
      <c r="E54" s="6">
        <v>3</v>
      </c>
      <c r="F54" s="6"/>
      <c r="G54" s="6"/>
    </row>
    <row r="55" spans="1:7" s="48" customFormat="1" ht="13.5" customHeight="1">
      <c r="A55" s="45" t="s">
        <v>90</v>
      </c>
      <c r="B55" s="14" t="s">
        <v>47</v>
      </c>
      <c r="C55" s="6">
        <v>2</v>
      </c>
      <c r="D55" s="6">
        <v>2</v>
      </c>
      <c r="E55" s="6">
        <v>2</v>
      </c>
      <c r="F55" s="6"/>
      <c r="G55" s="6"/>
    </row>
    <row r="56" spans="1:7" ht="13.5" customHeight="1">
      <c r="A56" s="45" t="s">
        <v>90</v>
      </c>
      <c r="B56" s="14" t="s">
        <v>51</v>
      </c>
      <c r="C56" s="6">
        <v>2</v>
      </c>
      <c r="D56" s="6">
        <v>2</v>
      </c>
      <c r="E56" s="6">
        <v>2</v>
      </c>
      <c r="F56" s="6"/>
      <c r="G56" s="6"/>
    </row>
    <row r="57" spans="1:7" ht="13.5" customHeight="1">
      <c r="A57" s="45" t="s">
        <v>90</v>
      </c>
      <c r="B57" s="49" t="s">
        <v>63</v>
      </c>
      <c r="C57" s="15">
        <v>2</v>
      </c>
      <c r="D57" s="15">
        <v>2</v>
      </c>
      <c r="E57" s="6">
        <v>2</v>
      </c>
      <c r="F57" s="6"/>
      <c r="G57" s="6"/>
    </row>
    <row r="58" spans="1:7" ht="13.5" customHeight="1">
      <c r="A58" s="45" t="s">
        <v>90</v>
      </c>
      <c r="B58" s="27" t="s">
        <v>53</v>
      </c>
      <c r="C58" s="6">
        <v>2</v>
      </c>
      <c r="D58" s="6">
        <v>2</v>
      </c>
      <c r="E58" s="6"/>
      <c r="F58" s="6">
        <v>2</v>
      </c>
      <c r="G58" s="6"/>
    </row>
    <row r="59" spans="1:7" ht="13.5" customHeight="1">
      <c r="A59" s="45" t="s">
        <v>90</v>
      </c>
      <c r="B59" s="14" t="s">
        <v>42</v>
      </c>
      <c r="C59" s="6">
        <v>3</v>
      </c>
      <c r="D59" s="6">
        <v>3</v>
      </c>
      <c r="E59" s="6"/>
      <c r="F59" s="6">
        <v>3</v>
      </c>
      <c r="G59" s="6"/>
    </row>
    <row r="60" spans="1:7" ht="13.5" customHeight="1">
      <c r="A60" s="45" t="s">
        <v>90</v>
      </c>
      <c r="B60" s="14" t="s">
        <v>30</v>
      </c>
      <c r="C60" s="6">
        <v>6</v>
      </c>
      <c r="D60" s="8">
        <v>24</v>
      </c>
      <c r="E60" s="6"/>
      <c r="F60" s="6"/>
      <c r="G60" s="6">
        <v>6</v>
      </c>
    </row>
    <row r="61" spans="1:7" ht="13.5" customHeight="1">
      <c r="A61" s="45" t="s">
        <v>90</v>
      </c>
      <c r="B61" s="14" t="s">
        <v>31</v>
      </c>
      <c r="C61" s="6">
        <v>6</v>
      </c>
      <c r="D61" s="8">
        <v>24</v>
      </c>
      <c r="E61" s="6"/>
      <c r="F61" s="6"/>
      <c r="G61" s="6">
        <v>6</v>
      </c>
    </row>
    <row r="62" spans="1:7" ht="13.5" customHeight="1">
      <c r="A62" s="45" t="s">
        <v>90</v>
      </c>
      <c r="B62" s="14" t="s">
        <v>32</v>
      </c>
      <c r="C62" s="6">
        <v>6</v>
      </c>
      <c r="D62" s="8">
        <v>24</v>
      </c>
      <c r="E62" s="6"/>
      <c r="F62" s="6"/>
      <c r="G62" s="6">
        <v>6</v>
      </c>
    </row>
  </sheetData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9" ma:contentTypeDescription="建立新的文件。" ma:contentTypeScope="" ma:versionID="7b27cf8cbbf927254d68ac6a8c0c312a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f1e18730c106872bb47423b607379e1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AEB7E8-E2E3-4736-9321-C3803EBE7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B7BD87-86BD-4595-8BCA-5BE492DB6E6F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cb9b7c2-9754-4101-9e49-15ae89eab769"/>
    <ds:schemaRef ds:uri="ded409b4-9dc0-4420-9e5a-7667c2412ae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課程規劃表</vt:lpstr>
      <vt:lpstr>課程結構分析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林金俊</cp:lastModifiedBy>
  <cp:revision/>
  <cp:lastPrinted>2025-10-22T01:24:49Z</cp:lastPrinted>
  <dcterms:created xsi:type="dcterms:W3CDTF">2018-03-22T09:15:00Z</dcterms:created>
  <dcterms:modified xsi:type="dcterms:W3CDTF">2025-10-22T01:24:55Z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